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Items" sheetId="2" state="visible" r:id="rId2"/>
    <sheet name="Security" sheetId="3" state="visible" r:id="rId3"/>
    <sheet name="Bugs &amp; Known Issues" sheetId="4" state="visible" r:id="rId4"/>
    <sheet name="Testing" sheetId="5" state="visible" r:id="rId5"/>
    <sheet name="Deployment &amp; Scope" sheetId="6" state="visible" r:id="rId6"/>
    <sheet name="Punch List" sheetId="7" state="visible" r:id="rId7"/>
  </sheets>
  <definedNames>
    <definedName name="_xlnm._FilterDatabase" localSheetId="1" hidden="1">'All Items'!$A$4:$D$35</definedName>
    <definedName name="_xlnm._FilterDatabase" localSheetId="2" hidden="1">'Security'!$A$4:$C$18</definedName>
    <definedName name="_xlnm._FilterDatabase" localSheetId="3" hidden="1">'Bugs &amp; Known Issues'!$A$4:$D$13</definedName>
    <definedName name="_xlnm._FilterDatabase" localSheetId="4" hidden="1">'Testing'!$A$4:$C$13</definedName>
    <definedName name="_xlnm._FilterDatabase" localSheetId="5" hidden="1">'Deployment &amp; Scope'!$A$13:$C$17</definedName>
    <definedName name="_xlnm._FilterDatabase" localSheetId="6" hidden="1">'Punch List'!$A$4:$D$17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color rgb="00111111"/>
      <sz val="20"/>
    </font>
    <font>
      <color rgb="00666666"/>
      <sz val="11"/>
    </font>
    <font>
      <b val="1"/>
      <sz val="10"/>
    </font>
    <font>
      <color rgb="00666666"/>
      <sz val="10"/>
    </font>
    <font>
      <b val="1"/>
      <sz val="11"/>
    </font>
    <font>
      <b val="1"/>
      <color rgb="00F97316"/>
      <sz val="28"/>
    </font>
    <font>
      <sz val="10"/>
    </font>
    <font>
      <b val="1"/>
      <sz val="13"/>
    </font>
    <font>
      <sz val="11"/>
    </font>
    <font>
      <color rgb="0005603A"/>
      <sz val="10"/>
    </font>
    <font>
      <color rgb="001849A9"/>
      <sz val="10"/>
    </font>
    <font>
      <color rgb="00333333"/>
      <sz val="10"/>
    </font>
    <font>
      <color rgb="00912018"/>
      <sz val="10"/>
    </font>
    <font>
      <i val="1"/>
      <color rgb="00666666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1E2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9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5">
    <dxf>
      <font>
        <b val="1"/>
        <color rgb="0005603A"/>
      </font>
      <fill>
        <patternFill patternType="solid">
          <fgColor rgb="00D1FADF"/>
        </patternFill>
      </fill>
    </dxf>
    <dxf>
      <font>
        <b val="1"/>
        <color rgb="0093370D"/>
      </font>
      <fill>
        <patternFill patternType="solid">
          <fgColor rgb="00FEF0C7"/>
        </patternFill>
      </fill>
    </dxf>
    <dxf>
      <font>
        <b val="1"/>
        <color rgb="00912018"/>
      </font>
      <fill>
        <patternFill patternType="solid">
          <fgColor rgb="00FEE4E2"/>
        </patternFill>
      </fill>
    </dxf>
    <dxf>
      <font>
        <b val="1"/>
        <color rgb="00414651"/>
      </font>
      <fill>
        <patternFill patternType="solid">
          <fgColor rgb="00E9EAEB"/>
        </patternFill>
      </fill>
    </dxf>
    <dxf>
      <font>
        <b val="1"/>
        <color rgb="001849A9"/>
      </font>
      <fill>
        <patternFill patternType="solid">
          <fgColor rgb="00D1E9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95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INTERNAL ENGINEERING AUDIT · NOT FOR EXTERNAL DISTRIBUTION</t>
        </is>
      </c>
    </row>
    <row r="3">
      <c r="A3" s="2" t="inlineStr">
        <is>
          <t>Program — Production-Readiness Audit (Refresh)</t>
        </is>
      </c>
    </row>
    <row r="4">
      <c r="A4" s="3" t="inlineStr">
        <is>
          <t>A code-verified re-audit of the MERN e-learning MVP, checked against main plus the two open PRs from this session.</t>
        </is>
      </c>
    </row>
    <row r="6">
      <c r="A6" s="4" t="inlineStr">
        <is>
          <t>Repo</t>
        </is>
      </c>
      <c r="B6" s="5" t="inlineStr">
        <is>
          <t>program-merged-update</t>
        </is>
      </c>
    </row>
    <row r="7">
      <c r="A7" s="4" t="inlineStr">
        <is>
          <t>Baseline</t>
        </is>
      </c>
      <c r="B7" s="5" t="inlineStr">
        <is>
          <t>main @ a9de741 (this audit's predecessor was main @ eaa5950)</t>
        </is>
      </c>
    </row>
    <row r="8">
      <c r="A8" s="4" t="inlineStr">
        <is>
          <t>Compared against</t>
        </is>
      </c>
      <c r="B8" s="5" t="inlineStr">
        <is>
          <t>origin/fix/admin-course-management-filter-crash (PR #92) + origin/feature/home-explore-instructor-profiles (PR #93), merged locally into a scratch branch for verification — neither is merged into main yet</t>
        </is>
      </c>
    </row>
    <row r="9">
      <c r="A9" s="4" t="inlineStr">
        <is>
          <t>Date</t>
        </is>
      </c>
      <c r="B9" s="5" t="inlineStr">
        <is>
          <t>28 Jul 2026</t>
        </is>
      </c>
    </row>
    <row r="10">
      <c r="A10" s="4" t="inlineStr">
        <is>
          <t>Method</t>
        </is>
      </c>
      <c r="B10" s="5" t="inlineStr">
        <is>
          <t>direct code read + live browser testing + automated integration/smoke suites, re-run against the combined PR state</t>
        </is>
      </c>
    </row>
    <row r="12">
      <c r="A12" s="6" t="inlineStr">
        <is>
          <t>EST. COMPLETION (live formula — Done=1.0, Partially Done=0.5, Broken/Not Started=0)</t>
        </is>
      </c>
    </row>
    <row r="13">
      <c r="A13" s="7">
        <f>'All Items'!$H$2</f>
        <v/>
      </c>
    </row>
    <row r="15">
      <c r="A15" s="4" t="inlineStr">
        <is>
          <t>Counts (of all items tracked on the 'All Items' sheet):</t>
        </is>
      </c>
    </row>
    <row r="16">
      <c r="A16" s="8" t="inlineStr">
        <is>
          <t>Done</t>
        </is>
      </c>
      <c r="B16" s="4">
        <f>COUNTIF('All Items'!$C:$C,"Done")</f>
        <v/>
      </c>
    </row>
    <row r="17">
      <c r="A17" s="8" t="inlineStr">
        <is>
          <t>Fixed This Session</t>
        </is>
      </c>
      <c r="B17" s="4">
        <f>COUNTIF('All Items'!$C:$C,"Fixed This Session")</f>
        <v/>
      </c>
    </row>
    <row r="18">
      <c r="A18" s="8" t="inlineStr">
        <is>
          <t>Partially Done</t>
        </is>
      </c>
      <c r="B18" s="4">
        <f>COUNTIF('All Items'!$C:$C,"Partially Done")</f>
        <v/>
      </c>
    </row>
    <row r="19">
      <c r="A19" s="8" t="inlineStr">
        <is>
          <t>Broken</t>
        </is>
      </c>
      <c r="B19" s="4">
        <f>COUNTIF('All Items'!$C:$C,"Broken")</f>
        <v/>
      </c>
    </row>
    <row r="20">
      <c r="A20" s="8" t="inlineStr">
        <is>
          <t>Not Started</t>
        </is>
      </c>
      <c r="B20" s="4">
        <f>COUNTIF('All Items'!$C:$C,"Not Started")</f>
        <v/>
      </c>
    </row>
    <row r="22">
      <c r="A22" s="9" t="inlineStr">
        <is>
          <t>Bottom line</t>
        </is>
      </c>
    </row>
    <row r="23">
      <c r="A23" s="10" t="inlineStr">
        <is>
          <t>The Home/Explore/Instructor-profile feature (PR #93) is genuinely wired end-to-end — verified live against the real dev database, not just the build. The admin Course Management crash (PR #92) is fixed. But neither PR touches the two CRITICAL pre-existing blockers this audit's predecessor found: the isActive crash still takes down the Learning Portal for any course with lessons, and Cloudinary uploads are still unverified/broken in this environment. A separate, un-fixed bug in the same admin file (Approve sets status:'published', not 'approved') still makes approved courses vanish from the list until refresh — do not mistake the PR #92 fix for a fix of that bug, they are different bugs in the same file. Net: forward progress on two fronts, zero regressions found, but the pre-existing severe issues are exactly as severe as before.</t>
        </is>
      </c>
    </row>
    <row r="24"/>
    <row r="25"/>
    <row r="26"/>
    <row r="27"/>
    <row r="29">
      <c r="A29" s="9" t="inlineStr">
        <is>
          <t>What changed since the last audit (commit eaa5950 → this session)</t>
        </is>
      </c>
    </row>
    <row r="30" ht="30" customHeight="1">
      <c r="A30" s="11" t="inlineStr">
        <is>
          <t>+  New: personalized Home page (major/semester rows), rebuilt Explore page (category tabs + instructor search), public instructor profile system. Verified live in a real browser against the dev DB.</t>
        </is>
      </c>
    </row>
    <row r="31" ht="30" customHeight="1">
      <c r="A31" s="11" t="inlineStr">
        <is>
          <t>+  New: major field on User (Register + Settings); optional major/semester on Course.</t>
        </is>
      </c>
    </row>
    <row r="32" ht="30" customHeight="1">
      <c r="A32" s="12" t="inlineStr">
        <is>
          <t>+  Fixed: Admin &gt; Course Management crashed (ReferenceError: setSelectedIds is not defined) on every status-tab click — found incidentally, fixed, verified.</t>
        </is>
      </c>
    </row>
    <row r="33" ht="30" customHeight="1">
      <c r="A33" s="12" t="inlineStr">
        <is>
          <t>+  Fixed: login/register only returned a minimal user object, so a newly-set major didn't reflect on Home until next page load — now hydrates via /auth/me immediately.</t>
        </is>
      </c>
    </row>
    <row r="34" ht="30" customHeight="1">
      <c r="A34" s="13">
        <f>  PR #91 (merged this session) also fixed a truncated admin reject-reason string and a footer typo, and stripped two unrelated marketing PDFs out of that PR before merge.</f>
        <v/>
      </c>
    </row>
    <row r="35" ht="30" customHeight="1">
      <c r="A35" s="14" t="inlineStr">
        <is>
          <t>!  NOT fixed, still open: isActive crash (LearningPortal.jsx), Cloudinary placeholder credentials, approve-sets-'published' bug (AdminCourseManagementTab.jsx), fake CheckoutPage payment UI + mock identity, fake-success UI cluster, System Management demo shell, no CI/CD, no deployment.</t>
        </is>
      </c>
    </row>
  </sheetData>
  <mergeCells count="13">
    <mergeCell ref="A33:F33"/>
    <mergeCell ref="B7:F7"/>
    <mergeCell ref="B6:F6"/>
    <mergeCell ref="A23:F27"/>
    <mergeCell ref="B10:F10"/>
    <mergeCell ref="A32:F32"/>
    <mergeCell ref="A31:F31"/>
    <mergeCell ref="A34:F34"/>
    <mergeCell ref="A35:F35"/>
    <mergeCell ref="A4:F4"/>
    <mergeCell ref="B8:F8"/>
    <mergeCell ref="A30:F30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00" customWidth="1" min="4" max="4"/>
  </cols>
  <sheetData>
    <row r="1">
      <c r="A1" s="9" t="inlineStr">
        <is>
          <t>All Items — flat list, source of truth for the Summary sheet's live completion score</t>
        </is>
      </c>
      <c r="H1" s="15" t="inlineStr">
        <is>
          <t>completion formula -&gt;</t>
        </is>
      </c>
    </row>
    <row r="2">
      <c r="A2" s="15" t="inlineStr">
        <is>
          <t>Edit the Status column (Done / Partially Done / Broken / Not Started / Fixed This Session) and the Summary % recomputes automatically.</t>
        </is>
      </c>
      <c r="H2" s="15">
        <f>(COUNTIF(C:C,"Done")+COUNTIF(C:C,"Fixed This Session")+0.5*COUNTIF(C:C,"Partially Done"))/COUNTA(A5:A200)</f>
        <v/>
      </c>
    </row>
    <row r="4" ht="22" customHeight="1">
      <c r="A4" s="16" t="inlineStr">
        <is>
          <t>Category</t>
        </is>
      </c>
      <c r="B4" s="16" t="inlineStr">
        <is>
          <t>Item</t>
        </is>
      </c>
      <c r="C4" s="16" t="inlineStr">
        <is>
          <t>Status</t>
        </is>
      </c>
      <c r="D4" s="16" t="inlineStr">
        <is>
          <t>Notes</t>
        </is>
      </c>
    </row>
    <row r="5" ht="60" customHeight="1">
      <c r="A5" s="17" t="inlineStr">
        <is>
          <t>Student</t>
        </is>
      </c>
      <c r="B5" s="18" t="inlineStr">
        <is>
          <t>Register (role selector)</t>
        </is>
      </c>
      <c r="C5" s="17" t="inlineStr">
        <is>
          <t>Done</t>
        </is>
      </c>
      <c r="D5" s="18" t="inlineStr">
        <is>
          <t>Unchanged. Real role picker, backend sanitizes role.</t>
        </is>
      </c>
    </row>
    <row r="6" ht="60" customHeight="1">
      <c r="A6" s="17" t="inlineStr">
        <is>
          <t>Student</t>
        </is>
      </c>
      <c r="B6" s="18" t="inlineStr">
        <is>
          <t>Browse / search courses</t>
        </is>
      </c>
      <c r="C6" s="17" t="inlineStr">
        <is>
          <t>Done</t>
        </is>
      </c>
      <c r="D6" s="18" t="inlineStr">
        <is>
          <t>Split across the new Home page (personalized) and new Explore page (category tabs + search) — capability preserved and extended, not regressed.</t>
        </is>
      </c>
    </row>
    <row r="7" ht="60" customHeight="1">
      <c r="A7" s="17" t="inlineStr">
        <is>
          <t>Student</t>
        </is>
      </c>
      <c r="B7" s="18" t="inlineStr">
        <is>
          <t>View course details</t>
        </is>
      </c>
      <c r="C7" s="17" t="inlineStr">
        <is>
          <t>Done</t>
        </is>
      </c>
      <c r="D7" s="18" t="inlineStr">
        <is>
          <t>Unchanged. Real GET /courses/:id.</t>
        </is>
      </c>
    </row>
    <row r="8" ht="60" customHeight="1">
      <c r="A8" s="17" t="inlineStr">
        <is>
          <t>Student</t>
        </is>
      </c>
      <c r="B8" s="18" t="inlineStr">
        <is>
          <t>Enroll</t>
        </is>
      </c>
      <c r="C8" s="17" t="inlineStr">
        <is>
          <t>Partially Done</t>
        </is>
      </c>
      <c r="D8" s="18" t="inlineStr">
        <is>
          <t>Unchanged. Still wrapped in a fully-built fake payment UI (CheckoutPage.jsx) with hardcoded mock identity.</t>
        </is>
      </c>
    </row>
    <row r="9" ht="60" customHeight="1">
      <c r="A9" s="17" t="inlineStr">
        <is>
          <t>Student</t>
        </is>
      </c>
      <c r="B9" s="18" t="inlineStr">
        <is>
          <t>Watch video lessons</t>
        </is>
      </c>
      <c r="C9" s="17" t="inlineStr">
        <is>
          <t>Broken</t>
        </is>
      </c>
      <c r="D9" s="18" t="inlineStr">
        <is>
          <t>UNCHANGED — still crashes. Undefined `isActive` at LearningPortal.jsx:473-474 (should be `isCurrent`, declared line 417). Not touched by either PR this session.</t>
        </is>
      </c>
    </row>
    <row r="10" ht="60" customHeight="1">
      <c r="A10" s="17" t="inlineStr">
        <is>
          <t>Student</t>
        </is>
      </c>
      <c r="B10" s="18" t="inlineStr">
        <is>
          <t>Mark lesson complete</t>
        </is>
      </c>
      <c r="C10" s="17" t="inlineStr">
        <is>
          <t>Done</t>
        </is>
      </c>
      <c r="D10" s="18" t="inlineStr">
        <is>
          <t>Unchanged. Real endpoint, but unreachable in practice — blocked by the crash above.</t>
        </is>
      </c>
    </row>
    <row r="11" ht="60" customHeight="1">
      <c r="A11" s="17" t="inlineStr">
        <is>
          <t>Student</t>
        </is>
      </c>
      <c r="B11" s="18" t="inlineStr">
        <is>
          <t>See progress</t>
        </is>
      </c>
      <c r="C11" s="17" t="inlineStr">
        <is>
          <t>Done</t>
        </is>
      </c>
      <c r="D11" s="18" t="inlineStr">
        <is>
          <t>Unchanged. Server-computed.</t>
        </is>
      </c>
    </row>
    <row r="12" ht="60" customHeight="1">
      <c r="A12" s="17" t="inlineStr">
        <is>
          <t>Instructor</t>
        </is>
      </c>
      <c r="B12" s="18" t="inlineStr">
        <is>
          <t>Register as instructor</t>
        </is>
      </c>
      <c r="C12" s="17" t="inlineStr">
        <is>
          <t>Done</t>
        </is>
      </c>
      <c r="D12" s="18" t="inlineStr">
        <is>
          <t>Unchanged.</t>
        </is>
      </c>
    </row>
    <row r="13" ht="60" customHeight="1">
      <c r="A13" s="17" t="inlineStr">
        <is>
          <t>Instructor</t>
        </is>
      </c>
      <c r="B13" s="18" t="inlineStr">
        <is>
          <t>Dashboard</t>
        </is>
      </c>
      <c r="C13" s="17" t="inlineStr">
        <is>
          <t>Done</t>
        </is>
      </c>
      <c r="D13" s="18" t="inlineStr">
        <is>
          <t>Unchanged.</t>
        </is>
      </c>
    </row>
    <row r="14" ht="60" customHeight="1">
      <c r="A14" s="17" t="inlineStr">
        <is>
          <t>Instructor</t>
        </is>
      </c>
      <c r="B14" s="18" t="inlineStr">
        <is>
          <t>Create course</t>
        </is>
      </c>
      <c r="C14" s="17" t="inlineStr">
        <is>
          <t>Done</t>
        </is>
      </c>
      <c r="D14" s="18" t="inlineStr">
        <is>
          <t>Enhanced this session: category is now a 10-option curated dropdown (was 4 hardcoded values), plus new optional Major/Semester fields. Verified live end-to-end (create → approve → appears correctly in Home/Explore).</t>
        </is>
      </c>
    </row>
    <row r="15" ht="60" customHeight="1">
      <c r="A15" s="17" t="inlineStr">
        <is>
          <t>Instructor</t>
        </is>
      </c>
      <c r="B15" s="18" t="inlineStr">
        <is>
          <t>Add lesson + video upload</t>
        </is>
      </c>
      <c r="C15" s="17" t="inlineStr">
        <is>
          <t>Broken</t>
        </is>
      </c>
      <c r="D15" s="18" t="inlineStr">
        <is>
          <t>UNCHANGED (environment-specific). Cloudinary creds in server/.env are still literal placeholders (your_api_key). Not touched this session.</t>
        </is>
      </c>
    </row>
    <row r="16" ht="60" customHeight="1">
      <c r="A16" s="17" t="inlineStr">
        <is>
          <t>Instructor</t>
        </is>
      </c>
      <c r="B16" s="18" t="inlineStr">
        <is>
          <t>Submit for approval</t>
        </is>
      </c>
      <c r="C16" s="17" t="inlineStr">
        <is>
          <t>Done</t>
        </is>
      </c>
      <c r="D16" s="18" t="inlineStr">
        <is>
          <t>Unchanged. Every new course is created pending by design.</t>
        </is>
      </c>
    </row>
    <row r="17" ht="60" customHeight="1">
      <c r="A17" s="17" t="inlineStr">
        <is>
          <t>Admin</t>
        </is>
      </c>
      <c r="B17" s="18" t="inlineStr">
        <is>
          <t>Login</t>
        </is>
      </c>
      <c r="C17" s="17" t="inlineStr">
        <is>
          <t>Done</t>
        </is>
      </c>
      <c r="D17" s="18" t="inlineStr">
        <is>
          <t>Unchanged.</t>
        </is>
      </c>
    </row>
    <row r="18" ht="60" customHeight="1">
      <c r="A18" s="17" t="inlineStr">
        <is>
          <t>Admin</t>
        </is>
      </c>
      <c r="B18" s="18" t="inlineStr">
        <is>
          <t>Dashboard stats</t>
        </is>
      </c>
      <c r="C18" s="17" t="inlineStr">
        <is>
          <t>Partially Done</t>
        </is>
      </c>
      <c r="D18" s="18" t="inlineStr">
        <is>
          <t>Unchanged. AdminOverviewTab.jsx:51-59 still has hardcoded fallback numbers masking genuine zero-values.</t>
        </is>
      </c>
    </row>
    <row r="19" ht="60" customHeight="1">
      <c r="A19" s="17" t="inlineStr">
        <is>
          <t>Admin</t>
        </is>
      </c>
      <c r="B19" s="18" t="inlineStr">
        <is>
          <t>View pending courses</t>
        </is>
      </c>
      <c r="C19" s="17" t="inlineStr">
        <is>
          <t>Done</t>
        </is>
      </c>
      <c r="D19" s="18" t="inlineStr">
        <is>
          <t>Unchanged.</t>
        </is>
      </c>
    </row>
    <row r="20" ht="60" customHeight="1">
      <c r="A20" s="17" t="inlineStr">
        <is>
          <t>Admin</t>
        </is>
      </c>
      <c r="B20" s="18" t="inlineStr">
        <is>
          <t>Approve / reject</t>
        </is>
      </c>
      <c r="C20" s="17" t="inlineStr">
        <is>
          <t>Partially Done</t>
        </is>
      </c>
      <c r="D20" s="18" t="inlineStr">
        <is>
          <t>One bug in this feature fixed this session (see 'Course Management functionality' below), but a DIFFERENT bug remains open: handleApprove sets status:'published' (AdminCourseManagementTab.jsx:196), which matches neither the Approved nor Pending filter — course vanishes until manual refresh. Reject still sends a hardcoded reason string, no real reason UI.</t>
        </is>
      </c>
    </row>
    <row r="21" ht="60" customHeight="1">
      <c r="A21" s="17" t="inlineStr">
        <is>
          <t>Recent UI/UX</t>
        </is>
      </c>
      <c r="B21" s="18" t="inlineStr">
        <is>
          <t>Static pages / footer</t>
        </is>
      </c>
      <c r="C21" s="17" t="inlineStr">
        <is>
          <t>Done</t>
        </is>
      </c>
      <c r="D21" s="18" t="inlineStr">
        <is>
          <t>Unchanged.</t>
        </is>
      </c>
    </row>
    <row r="22" ht="60" customHeight="1">
      <c r="A22" s="17" t="inlineStr">
        <is>
          <t>Recent UI/UX</t>
        </is>
      </c>
      <c r="B22" s="18" t="inlineStr">
        <is>
          <t>Courses nav dropdown</t>
        </is>
      </c>
      <c r="C22" s="17" t="inlineStr">
        <is>
          <t>Done</t>
        </is>
      </c>
      <c r="D22" s="18" t="inlineStr">
        <is>
          <t>SUPERSEDED this session — the sidebar's category dropdown (COURSE_CATEGORIES constant + courses-nav-dropdown) was removed entirely and replaced by the new Explore page's in-page category tabs (data-driven, 10 curated categories + Instructors + All). Category filtering capability preserved and expanded, not regressed.</t>
        </is>
      </c>
    </row>
    <row r="23" ht="60" customHeight="1">
      <c r="A23" s="17" t="inlineStr">
        <is>
          <t>Recent UI/UX</t>
        </is>
      </c>
      <c r="B23" s="18" t="inlineStr">
        <is>
          <t>Loading animations</t>
        </is>
      </c>
      <c r="C23" s="17" t="inlineStr">
        <is>
          <t>Done</t>
        </is>
      </c>
      <c r="D23" s="18" t="inlineStr">
        <is>
          <t>Unchanged.</t>
        </is>
      </c>
    </row>
    <row r="24" ht="60" customHeight="1">
      <c r="A24" s="17" t="inlineStr">
        <is>
          <t>Recent UI/UX</t>
        </is>
      </c>
      <c r="B24" s="18" t="inlineStr">
        <is>
          <t>Admin Quick Actions removal</t>
        </is>
      </c>
      <c r="C24" s="17" t="inlineStr">
        <is>
          <t>Done</t>
        </is>
      </c>
      <c r="D24" s="18" t="inlineStr">
        <is>
          <t>Unchanged.</t>
        </is>
      </c>
    </row>
    <row r="25" ht="60" customHeight="1">
      <c r="A25" s="17" t="inlineStr">
        <is>
          <t>Recent UI/UX</t>
        </is>
      </c>
      <c r="B25" s="18" t="inlineStr">
        <is>
          <t>User Management consolidation</t>
        </is>
      </c>
      <c r="C25" s="17" t="inlineStr">
        <is>
          <t>Done</t>
        </is>
      </c>
      <c r="D25" s="18" t="inlineStr">
        <is>
          <t>Unchanged.</t>
        </is>
      </c>
    </row>
    <row r="26" ht="60" customHeight="1">
      <c r="A26" s="17" t="inlineStr">
        <is>
          <t>Recent UI/UX</t>
        </is>
      </c>
      <c r="B26" s="18" t="inlineStr">
        <is>
          <t>Course Management functionality</t>
        </is>
      </c>
      <c r="C26" s="17" t="inlineStr">
        <is>
          <t>Partially Done</t>
        </is>
      </c>
      <c r="D26" s="18" t="inlineStr">
        <is>
          <t>IMPROVED this session: the status-filter-tab crash (setSelectedIds is not defined — orphaned bulk-select leftover, no matching state or UI anywhere in the file) is FIXED and verified live. Still Partially Done overall because the separate approve-status-value bug (see Admin &gt; Approve/reject) remains in the same file.</t>
        </is>
      </c>
    </row>
    <row r="27" ht="60" customHeight="1">
      <c r="A27" s="17" t="inlineStr">
        <is>
          <t>Recent UI/UX</t>
        </is>
      </c>
      <c r="B27" s="18" t="inlineStr">
        <is>
          <t>Certificates removal</t>
        </is>
      </c>
      <c r="C27" s="17" t="inlineStr">
        <is>
          <t>Done</t>
        </is>
      </c>
      <c r="D27" s="18" t="inlineStr">
        <is>
          <t>Unchanged.</t>
        </is>
      </c>
    </row>
    <row r="28" ht="60" customHeight="1">
      <c r="A28" s="17" t="inlineStr">
        <is>
          <t>Recent UI/UX</t>
        </is>
      </c>
      <c r="B28" s="18" t="inlineStr">
        <is>
          <t>Financial Management cleanup</t>
        </is>
      </c>
      <c r="C28" s="17" t="inlineStr">
        <is>
          <t>Done</t>
        </is>
      </c>
      <c r="D28" s="18" t="inlineStr">
        <is>
          <t>Unchanged.</t>
        </is>
      </c>
    </row>
    <row r="29" ht="60" customHeight="1">
      <c r="A29" s="17" t="inlineStr">
        <is>
          <t>Recent UI/UX</t>
        </is>
      </c>
      <c r="B29" s="18" t="inlineStr">
        <is>
          <t>Superadmin profile removal</t>
        </is>
      </c>
      <c r="C29" s="17" t="inlineStr">
        <is>
          <t>Done</t>
        </is>
      </c>
      <c r="D29" s="18" t="inlineStr">
        <is>
          <t>Unchanged.</t>
        </is>
      </c>
    </row>
    <row r="30" ht="60" customHeight="1">
      <c r="A30" s="17" t="inlineStr">
        <is>
          <t>New This Session</t>
        </is>
      </c>
      <c r="B30" s="18" t="inlineStr">
        <is>
          <t>Major field (Register + Settings)</t>
        </is>
      </c>
      <c r="C30" s="17" t="inlineStr">
        <is>
          <t>Done</t>
        </is>
      </c>
      <c r="D30" s="18" t="inlineStr">
        <is>
          <t>New. Added to User model, Register step 2 (student branch), and Settings &gt; Account. Verified live: setting it at registration now reflects on Home immediately (see the /auth/me hydration fix below).</t>
        </is>
      </c>
    </row>
    <row r="31" ht="60" customHeight="1">
      <c r="A31" s="17" t="inlineStr">
        <is>
          <t>New This Session</t>
        </is>
      </c>
      <c r="B31" s="18" t="inlineStr">
        <is>
          <t>Home page personalization</t>
        </is>
      </c>
      <c r="C31" s="17" t="inlineStr">
        <is>
          <t>Done</t>
        </is>
      </c>
      <c r="D31" s="18" t="inlineStr">
        <is>
          <t>New. Repurposes the old generic Explore catalog (client/src/components/ExploreTab.jsx) into a per-semester, horizontally-scrollable feed driven by the student's major. Graceful fallback (general catalog + prompt) when no major is set. Verified live end-to-end with a real created/approved course.</t>
        </is>
      </c>
    </row>
    <row r="32" ht="60" customHeight="1">
      <c r="A32" s="17" t="inlineStr">
        <is>
          <t>New This Session</t>
        </is>
      </c>
      <c r="B32" s="18" t="inlineStr">
        <is>
          <t>Explore page rebuild</t>
        </is>
      </c>
      <c r="C32" s="17" t="inlineStr">
        <is>
          <t>Done</t>
        </is>
      </c>
      <c r="D32" s="18" t="inlineStr">
        <is>
          <t>New (client/src/components/DiscoverTab.jsx, mounted at /student/explore). Data-driven category tabs (10 curated categories + All + Instructors), combined course/instructor search, instant client-side filtering. Verified live.</t>
        </is>
      </c>
    </row>
    <row r="33" ht="60" customHeight="1">
      <c r="A33" s="17" t="inlineStr">
        <is>
          <t>New This Session</t>
        </is>
      </c>
      <c r="B33" s="18" t="inlineStr">
        <is>
          <t>Instructor profile system</t>
        </is>
      </c>
      <c r="C33" s="17" t="inlineStr">
        <is>
          <t>Done</t>
        </is>
      </c>
      <c r="D33" s="18" t="inlineStr">
        <is>
          <t>New. GET /api/instructors (list/search) + GET /api/instructors/:id (profile), and client/src/components/InstructorProfilePage.jsx at /instructor/:id. Bio/expertise derived from existing goalsText/course-category data — no new PII fields. Verified live: avatar, bio, expertise tags, rating, student count, and course grid all render correctly.</t>
        </is>
      </c>
    </row>
    <row r="34" ht="60" customHeight="1">
      <c r="A34" s="17" t="inlineStr">
        <is>
          <t>New This Session</t>
        </is>
      </c>
      <c r="B34" s="18" t="inlineStr">
        <is>
          <t>Admin Course Management crash fix</t>
        </is>
      </c>
      <c r="C34" s="17" t="inlineStr">
        <is>
          <t>Fixed This Session</t>
        </is>
      </c>
      <c r="D34" s="18" t="inlineStr">
        <is>
          <t>Found incidentally while manually verifying the above. setSelectedIds(new Set()) was called on every status-filter-tab click with no corresponding useState anywhere in the file (dead leftover from a removed bulk-select feature) — threw a ReferenceError and crashed the tab. Fix: removed the orphaned call. This is PR #92, open, not yet merged to main.</t>
        </is>
      </c>
    </row>
    <row r="35" ht="60" customHeight="1">
      <c r="A35" s="17" t="inlineStr">
        <is>
          <t>New This Session</t>
        </is>
      </c>
      <c r="B35" s="18" t="inlineStr">
        <is>
          <t>/auth/me hydration after login/register</t>
        </is>
      </c>
      <c r="C35" s="17" t="inlineStr">
        <is>
          <t>Fixed This Session</t>
        </is>
      </c>
      <c r="D35" s="18" t="inlineStr">
        <is>
          <t>Found while testing the major field: login/register responses only ever returned a minimal user object (id/name/email/role/avatarUrl), so a freshly-set major (or any other profile field) didn't show up until the next page load. Now App.jsx calls GET /auth/me right after login/register to hydrate the full profile immediately.</t>
        </is>
      </c>
    </row>
  </sheetData>
  <autoFilter ref="A4:D35"/>
  <conditionalFormatting sqref="C5:C35">
    <cfRule type="cellIs" priority="1" operator="equal" dxfId="0">
      <formula>"Done"</formula>
    </cfRule>
    <cfRule type="cellIs" priority="2" operator="equal" dxfId="1">
      <formula>"Partially Done"</formula>
    </cfRule>
    <cfRule type="cellIs" priority="3" operator="equal" dxfId="2">
      <formula>"Broken"</formula>
    </cfRule>
    <cfRule type="cellIs" priority="4" operator="equal" dxfId="3">
      <formula>"Not Started"</formula>
    </cfRule>
    <cfRule type="cellIs" priority="5" operator="equal" dxfId="4">
      <formula>"Fixed This Session"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00" customWidth="1" min="3" max="3"/>
  </cols>
  <sheetData>
    <row r="1">
      <c r="A1" s="9" t="inlineStr">
        <is>
          <t>Security — re-read every route file + core auth/crypto/sanitization middleware, plus the new instructor endpoints and Course/User schema additions</t>
        </is>
      </c>
    </row>
    <row r="2">
      <c r="A2" s="15" t="inlineStr">
        <is>
          <t>Items unchanged from the previous audit are marked accordingly; new rows cover what this session actually added.</t>
        </is>
      </c>
    </row>
    <row r="4" ht="22" customHeight="1">
      <c r="A4" s="16" t="inlineStr">
        <is>
          <t>Area</t>
        </is>
      </c>
      <c r="B4" s="16" t="inlineStr">
        <is>
          <t>Status</t>
        </is>
      </c>
      <c r="C4" s="16" t="inlineStr">
        <is>
          <t>Detail</t>
        </is>
      </c>
    </row>
    <row r="5" ht="60" customHeight="1">
      <c r="A5" s="18" t="inlineStr">
        <is>
          <t>Cookies</t>
        </is>
      </c>
      <c r="B5" s="17" t="inlineStr">
        <is>
          <t>Verified — Unchanged</t>
        </is>
      </c>
      <c r="C5" s="18" t="inlineStr">
        <is>
          <t>httpOnly always; secure/sameSite=none only in production. Correct.</t>
        </is>
      </c>
    </row>
    <row r="6" ht="60" customHeight="1">
      <c r="A6" s="18" t="inlineStr">
        <is>
          <t>Password hashing</t>
        </is>
      </c>
      <c r="B6" s="17" t="inlineStr">
        <is>
          <t>Verified — Unchanged</t>
        </is>
      </c>
      <c r="C6" s="18" t="inlineStr">
        <is>
          <t>bcrypt cost 12, field excluded from queries by default (select:false).</t>
        </is>
      </c>
    </row>
    <row r="7" ht="60" customHeight="1">
      <c r="A7" s="18" t="inlineStr">
        <is>
          <t>JWT secret</t>
        </is>
      </c>
      <c r="B7" s="17" t="inlineStr">
        <is>
          <t>Verified — Unchanged</t>
        </is>
      </c>
      <c r="C7" s="18" t="inlineStr">
        <is>
          <t>Read from env, never hardcoded.</t>
        </is>
      </c>
    </row>
    <row r="8" ht="60" customHeight="1">
      <c r="A8" s="18" t="inlineStr">
        <is>
          <t>Authorization</t>
        </is>
      </c>
      <c r="B8" s="17" t="inlineStr">
        <is>
          <t>Verified — Unchanged</t>
        </is>
      </c>
      <c r="C8" s="18" t="inlineStr">
        <is>
          <t>Every route file checked incl. the two new instructor routes. protect/authorize(...) correctly gates every mutating route; ownership checks present on every instructor mutation.</t>
        </is>
      </c>
    </row>
    <row r="9" ht="60" customHeight="1">
      <c r="A9" s="18" t="inlineStr">
        <is>
          <t>New: public instructor endpoints</t>
        </is>
      </c>
      <c r="B9" s="17" t="inlineStr">
        <is>
          <t>Verified — Safe</t>
        </is>
      </c>
      <c r="C9" s="18" t="inlineStr">
        <is>
          <t>GET /api/instructors and GET /api/instructors/:id are intentionally public (profile pages), and correctly scope returned fields — listInstructors uses .select('name lastName avatarUrl goalsText') (no email/PII); getInstructorProfile fetches the full User doc internally but manually constructs the JSON response field-by-field, so nothing beyond name/lastName/avatarUrl/bio/derived stats ever leaves the server.</t>
        </is>
      </c>
    </row>
    <row r="10" ht="60" customHeight="1">
      <c r="A10" s="18" t="inlineStr">
        <is>
          <t>New: major/semester/category input</t>
        </is>
      </c>
      <c r="B10" s="17" t="inlineStr">
        <is>
          <t>Verified — Safe</t>
        </is>
      </c>
      <c r="C10" s="18" t="inlineStr">
        <is>
          <t>All new Course/User fields (major, semester, and the expanded category set) pass through the existing global mongoSanitizeMiddleware + xssSanitizeMiddleware (app.js, applied before all routes) — no new injection surface introduced.</t>
        </is>
      </c>
    </row>
    <row r="11" ht="60" customHeight="1">
      <c r="A11" s="18" t="inlineStr">
        <is>
          <t>New: instructor-name search</t>
        </is>
      </c>
      <c r="B11" s="17" t="inlineStr">
        <is>
          <t>Verified — Safe</t>
        </is>
      </c>
      <c r="C11" s="18" t="inlineStr">
        <is>
          <t>GET /courses?search= now also regex-matches instructor name via mongoose.model('User').find(...) — uses the same escapeRegex() utility as the existing title search, so no ReDoS/regex-injection regression.</t>
        </is>
      </c>
    </row>
    <row r="12" ht="60" customHeight="1">
      <c r="A12" s="18" t="inlineStr">
        <is>
          <t>New: rate limiting coverage</t>
        </is>
      </c>
      <c r="B12" s="17" t="inlineStr">
        <is>
          <t>Verified — Safe</t>
        </is>
      </c>
      <c r="C12" s="18" t="inlineStr">
        <is>
          <t>The two new /api/instructors routes are mounted after app.use(globalApiLimiter) in app.js, so they inherit the global backstop like every other route. No dedicated limiter needed for public GETs at this scale.</t>
        </is>
      </c>
    </row>
    <row r="13" ht="60" customHeight="1">
      <c r="A13" s="18" t="inlineStr">
        <is>
          <t>New (minor gap): Course.semester has no bounds</t>
        </is>
      </c>
      <c r="B13" s="17" t="inlineStr">
        <is>
          <t>Minor Gap</t>
        </is>
      </c>
      <c r="C13" s="18" t="inlineStr">
        <is>
          <t>semester is a plain Number with no min/max/enum validation — an instructor could set 0, -5, or 9999. Not a security issue (no injection, no auth bypass); worst case is a course that silently never appears in any Home semester row. Worth a follow-up validation pass, not urgent.</t>
        </is>
      </c>
    </row>
    <row r="14" ht="60" customHeight="1">
      <c r="A14" s="18" t="inlineStr">
        <is>
          <t>Video URL gating</t>
        </is>
      </c>
      <c r="B14" s="17" t="inlineStr">
        <is>
          <t>Verified — Unchanged</t>
        </is>
      </c>
      <c r="C14" s="18" t="inlineStr">
        <is>
          <t>Public course endpoint excludes videoUrl; gated lesson endpoint checks enrollment/ownership/admin. One pre-existing minor inconsistency carried forward: an isAdmin check on the course-details endpoint (courseController.js:254) only tests role==='admin', not 'superadmin'.</t>
        </is>
      </c>
    </row>
    <row r="15" ht="60" customHeight="1">
      <c r="A15" s="18" t="inlineStr">
        <is>
          <t>Rate limiting (pre-existing)</t>
        </is>
      </c>
      <c r="B15" s="17" t="inlineStr">
        <is>
          <t>Verified — Unchanged</t>
        </is>
      </c>
      <c r="C15" s="18" t="inlineStr">
        <is>
          <t>Real limits on login/register/check-email + global backstop. forgot-password and OTP limiters remain defined but never wired to any route — dead scaffolding for an explicitly out-of-scope feature.</t>
        </is>
      </c>
    </row>
    <row r="16" ht="60" customHeight="1">
      <c r="A16" s="18" t="inlineStr">
        <is>
          <t>Input sanitization</t>
        </is>
      </c>
      <c r="B16" s="17" t="inlineStr">
        <is>
          <t>Verified — Unchanged</t>
        </is>
      </c>
      <c r="C16" s="18" t="inlineStr">
        <is>
          <t>Mongo-operator stripping + XSS escaping applied globally, layered with express-validator on auth routes.</t>
        </is>
      </c>
    </row>
    <row r="17" ht="60" customHeight="1">
      <c r="A17" s="18" t="inlineStr">
        <is>
          <t>CORS</t>
        </is>
      </c>
      <c r="B17" s="17" t="inlineStr">
        <is>
          <t>Verified — Unchanged</t>
        </is>
      </c>
      <c r="C17" s="18" t="inlineStr">
        <is>
          <t>Correct env-driven allowlist implementation; still never exercised against a real production domain because nothing is deployed.</t>
        </is>
      </c>
    </row>
    <row r="18" ht="60" customHeight="1">
      <c r="A18" s="18" t="inlineStr">
        <is>
          <t>Unmerged security branch</t>
        </is>
      </c>
      <c r="B18" s="17" t="inlineStr">
        <is>
          <t>Unchanged — Still Unmerged</t>
        </is>
      </c>
      <c r="C18" s="18" t="inlineStr">
        <is>
          <t>origin/feature/enterprise-security(sprint2) still exists on the remote, still not merged into main. Diff not read this session either — if it holds intended fixes for this release, they are still not in main.</t>
        </is>
      </c>
    </row>
  </sheetData>
  <autoFilter ref="A4:C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30" customWidth="1" min="3" max="3"/>
    <col width="105" customWidth="1" min="4" max="4"/>
  </cols>
  <sheetData>
    <row r="1">
      <c r="A1" s="9" t="inlineStr">
        <is>
          <t>Bugs / Known Issues — re-verified against the combined PR state; new rows for what was found/fixed this session</t>
        </is>
      </c>
    </row>
    <row r="4" ht="22" customHeight="1">
      <c r="A4" s="16" t="inlineStr">
        <is>
          <t>Issue</t>
        </is>
      </c>
      <c r="B4" s="16" t="inlineStr">
        <is>
          <t>Severity</t>
        </is>
      </c>
      <c r="C4" s="16" t="inlineStr">
        <is>
          <t>Status</t>
        </is>
      </c>
      <c r="D4" s="16" t="inlineStr">
        <is>
          <t>Detail</t>
        </is>
      </c>
    </row>
    <row r="5" ht="60" customHeight="1">
      <c r="A5" s="18" t="inlineStr">
        <is>
          <t>Undefined isActive crashes the Learning Portal</t>
        </is>
      </c>
      <c r="B5" s="17" t="inlineStr">
        <is>
          <t>CRITICAL</t>
        </is>
      </c>
      <c r="C5" s="17" t="inlineStr">
        <is>
          <t>Open — Unchanged</t>
        </is>
      </c>
      <c r="D5" s="18" t="inlineStr">
        <is>
          <t>LearningPortal.jsx:473-474. Confirmed still present, still undeclared in scope — the correct variable (isCurrent) is declared two lines above at 417 but the wrong name was used at 473-474. Throws a ReferenceError on any course with lessons. One-line fix, not made this session — out of scope for the Home/Explore/Instructor-profile work.</t>
        </is>
      </c>
    </row>
    <row r="6" ht="60" customHeight="1">
      <c r="A6" s="18" t="inlineStr">
        <is>
          <t>Cloudinary uploads non-functional</t>
        </is>
      </c>
      <c r="B6" s="17" t="inlineStr">
        <is>
          <t>CRITICAL</t>
        </is>
      </c>
      <c r="C6" s="17" t="inlineStr">
        <is>
          <t>Open — Unchanged</t>
        </is>
      </c>
      <c r="D6" s="18" t="inlineStr">
        <is>
          <t>server/.env still has literal placeholder credentials (CLOUDINARY_API_KEY=your_api_key etc.). Not re-tested live this session; config confirmed unchanged.</t>
        </is>
      </c>
    </row>
    <row r="7" ht="60" customHeight="1">
      <c r="A7" s="18" t="inlineStr">
        <is>
          <t>Approved courses vanish from the admin list</t>
        </is>
      </c>
      <c r="B7" s="17" t="inlineStr">
        <is>
          <t>MODERATE</t>
        </is>
      </c>
      <c r="C7" s="17" t="inlineStr">
        <is>
          <t>Open — Unchanged (different bug than the one fixed this session)</t>
        </is>
      </c>
      <c r="D7" s="18" t="inlineStr">
        <is>
          <t>AdminCourseManagementTab.jsx:196 — handleApprove sets status:'published', which matches neither the 'Approved' nor 'Pending' filter tab. Still present. Do not confuse with the crash fixed this session (below) — same file, different bug.</t>
        </is>
      </c>
    </row>
    <row r="8" ht="60" customHeight="1">
      <c r="A8" s="18" t="inlineStr">
        <is>
          <t>Admin Course Management: filter-tab crash</t>
        </is>
      </c>
      <c r="B8" s="17" t="inlineStr">
        <is>
          <t>CRITICAL (now fixed)</t>
        </is>
      </c>
      <c r="C8" s="17" t="inlineStr">
        <is>
          <t>FIXED This Session</t>
        </is>
      </c>
      <c r="D8" s="18" t="inlineStr">
        <is>
          <t>PR #92. Clicking any status filter tab called setSelectedIds(new Set()) with no matching useState anywhere in the file — orphaned leftover from a removed bulk-select feature, no checkboxes or bulk toolbar exist. Threw a ReferenceError and crashed the tab on every click, blocking admins from filtering OR approving/rejecting courses at all. Verified fixed live: status tabs, detail panel, and Approve Course button all work without error.</t>
        </is>
      </c>
    </row>
    <row r="9" ht="60" customHeight="1">
      <c r="A9" s="18" t="inlineStr">
        <is>
          <t>Hardcoded mock identity shown at checkout</t>
        </is>
      </c>
      <c r="B9" s="17" t="inlineStr">
        <is>
          <t>MODERATE</t>
        </is>
      </c>
      <c r="C9" s="17" t="inlineStr">
        <is>
          <t>Open — Unchanged</t>
        </is>
      </c>
      <c r="D9" s="18" t="inlineStr">
        <is>
          <t>client/src/data.js's fake user (real-looking name/email) still displayed to every user in CheckoutPage instead of the actual logged-in account.</t>
        </is>
      </c>
    </row>
    <row r="10" ht="60" customHeight="1">
      <c r="A10" s="18" t="inlineStr">
        <is>
          <t>Cluster of fake-success UI</t>
        </is>
      </c>
      <c r="B10" s="17" t="inlineStr">
        <is>
          <t>MODERATE</t>
        </is>
      </c>
      <c r="C10" s="17" t="inlineStr">
        <is>
          <t>Open — Unchanged</t>
        </is>
      </c>
      <c r="D10" s="18" t="inlineStr">
        <is>
          <t>Report issue (console.log + toast only), Share (no clipboard call anywhere in the codebase), admin Export CSV (toast only, zero export logic), lesson Draft/Published toggle (handleTogglePublish only shows a toast, no API call, no state change), backend send-test-email endpoint (setTimeout(800) + hardcoded success). All confirmed still fake.</t>
        </is>
      </c>
    </row>
    <row r="11" ht="60" customHeight="1">
      <c r="A11" s="18" t="inlineStr">
        <is>
          <t>System Management is mostly a demo shell</t>
        </is>
      </c>
      <c r="B11" s="17" t="inlineStr">
        <is>
          <t>MINOR</t>
        </is>
      </c>
      <c r="C11" s="17" t="inlineStr">
        <is>
          <t>Open — Unchanged (not touched)</t>
        </is>
      </c>
      <c r="D11" s="18" t="inlineStr">
        <is>
          <t>Not re-verified line-by-line this session since neither PR touches SystemManagement.jsx; carried forward from the prior audit at face value.</t>
        </is>
      </c>
    </row>
    <row r="12" ht="60" customHeight="1">
      <c r="A12" s="18" t="inlineStr">
        <is>
          <t>Build &amp; lint</t>
        </is>
      </c>
      <c r="B12" s="17" t="inlineStr">
        <is>
          <t>MINOR</t>
        </is>
      </c>
      <c r="C12" s="17" t="inlineStr">
        <is>
          <t>Open — Slightly Changed</t>
        </is>
      </c>
      <c r="D12" s="18" t="inlineStr">
        <is>
          <t>Build: still clean, zero errors, main JS bundle now 1.06 MB / 277 KB gzip (was 1.04 MB / 273 KB gzip — the new pages/components added ~20KB gzip). Lint (oxlint): 0 errors, 81 warnings counted this session (was '~45' estimated previously — different tooling run, not a like-for-like delta). All warnings are pre-existing patterns (unused vars/imports, missing hook deps); every new file added this session (DiscoverTab, InstructorCard, InstructorProfilePage, instructorController, instructorRoutes, majors.js, exploreCategories.js) has zero lint warnings.</t>
        </is>
      </c>
    </row>
    <row r="13" ht="60" customHeight="1">
      <c r="A13" s="18" t="inlineStr">
        <is>
          <t>Course.semester has no bounds validation</t>
        </is>
      </c>
      <c r="B13" s="17" t="inlineStr">
        <is>
          <t>MINOR (new)</t>
        </is>
      </c>
      <c r="C13" s="17" t="inlineStr">
        <is>
          <t>Open — New Finding</t>
        </is>
      </c>
      <c r="D13" s="18" t="inlineStr">
        <is>
          <t>Introduced this session as part of the major/semester feature. No min/max/enum on the Course model's semester field. Not exploitable, just a data-quality gap — see Security sheet.</t>
        </is>
      </c>
    </row>
  </sheetData>
  <autoFilter ref="A4:D13"/>
  <conditionalFormatting sqref="C5:C13">
    <cfRule type="cellIs" priority="1" operator="equal" dxfId="0">
      <formula>"Done"</formula>
    </cfRule>
    <cfRule type="cellIs" priority="2" operator="equal" dxfId="1">
      <formula>"Partially Done"</formula>
    </cfRule>
    <cfRule type="cellIs" priority="3" operator="equal" dxfId="2">
      <formula>"Broken"</formula>
    </cfRule>
    <cfRule type="cellIs" priority="4" operator="equal" dxfId="3">
      <formula>"Not Started"</formula>
    </cfRule>
    <cfRule type="cellIs" priority="5" operator="equal" dxfId="4">
      <formula>"Fixed This Session"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0" customWidth="1" min="3" max="3"/>
  </cols>
  <sheetData>
    <row r="1">
      <c r="A1" s="9" t="inlineStr">
        <is>
          <t>Testing — re-run this session against the combined PR #92 + PR #93 state</t>
        </is>
      </c>
    </row>
    <row r="4" ht="22" customHeight="1">
      <c r="A4" s="16" t="inlineStr">
        <is>
          <t>Check</t>
        </is>
      </c>
      <c r="B4" s="16" t="inlineStr">
        <is>
          <t>Result</t>
        </is>
      </c>
      <c r="C4" s="16" t="inlineStr">
        <is>
          <t>Detail</t>
        </is>
      </c>
    </row>
    <row r="5" ht="60" customHeight="1">
      <c r="A5" s="18" t="inlineStr">
        <is>
          <t>Integration suite (server/test-integration.js)</t>
        </is>
      </c>
      <c r="B5" s="17" t="inlineStr">
        <is>
          <t>Passed</t>
        </is>
      </c>
      <c r="C5" s="18" t="inlineStr">
        <is>
          <t>Ran directly against the combined-branch worktree, in-memory MongoDB. All assertions passed — regression-clean.</t>
        </is>
      </c>
    </row>
    <row r="6" ht="60" customHeight="1">
      <c r="A6" s="18" t="inlineStr">
        <is>
          <t>New smoke test (major/semester/instructor endpoints)</t>
        </is>
      </c>
      <c r="B6" s="17" t="inlineStr">
        <is>
          <t>Passed</t>
        </is>
      </c>
      <c r="C6" s="18" t="inlineStr">
        <is>
          <t>Purpose-built this session, in-memory MongoDB: major/semester filtering on GET /courses, instructor-name search + avatar populate, GET /instructors aggregation (courseCount/avgRating/totalStudents/expertise), GET /instructors/:id (bio from goalsText, course list), 404 for non-instructor ids, PATCH /auth/profile major update, GET /auth/me allowlist. All passed.</t>
        </is>
      </c>
    </row>
    <row r="7" ht="60" customHeight="1">
      <c r="A7" s="18" t="inlineStr">
        <is>
          <t>Client build</t>
        </is>
      </c>
      <c r="B7" s="17" t="inlineStr">
        <is>
          <t>Passed</t>
        </is>
      </c>
      <c r="C7" s="18" t="inlineStr">
        <is>
          <t>npm run build in client/ — zero errors, on the true combined-PR state (not just each PR individually).</t>
        </is>
      </c>
    </row>
    <row r="8" ht="60" customHeight="1">
      <c r="A8" s="18" t="inlineStr">
        <is>
          <t>Manual QA — student</t>
        </is>
      </c>
      <c r="B8" s="17" t="inlineStr">
        <is>
          <t>Done This Session</t>
        </is>
      </c>
      <c r="C8" s="18" t="inlineStr">
        <is>
          <t>Registered a real student via the browser, picked a major at registration, confirmed Home personalizes immediately (no refresh needed), confirmed Explore category tabs filter instantly, confirmed Explore Instructors tab renders.</t>
        </is>
      </c>
    </row>
    <row r="9" ht="60" customHeight="1">
      <c r="A9" s="18" t="inlineStr">
        <is>
          <t>Manual QA — instructor</t>
        </is>
      </c>
      <c r="B9" s="17" t="inlineStr">
        <is>
          <t>Done This Session</t>
        </is>
      </c>
      <c r="C9" s="18" t="inlineStr">
        <is>
          <t>Registered a real instructor via the browser, created a course with the new category/major/semester fields, confirmed the form and submission work end-to-end.</t>
        </is>
      </c>
    </row>
    <row r="10" ht="60" customHeight="1">
      <c r="A10" s="18" t="inlineStr">
        <is>
          <t>Manual QA — admin</t>
        </is>
      </c>
      <c r="B10" s="17" t="inlineStr">
        <is>
          <t>Done This Session</t>
        </is>
      </c>
      <c r="C10" s="18" t="inlineStr">
        <is>
          <t>Logged in as an admin, navigated Course Management, switched status filter tabs (confirmed the crash fix), opened a course detail panel, approved a pending course, confirmed it moved to Approved and the API reflects it.</t>
        </is>
      </c>
    </row>
    <row r="11" ht="60" customHeight="1">
      <c r="A11" s="18" t="inlineStr">
        <is>
          <t>Manual QA — cross-role verification loop</t>
        </is>
      </c>
      <c r="B11" s="17" t="inlineStr">
        <is>
          <t>Done This Session</t>
        </is>
      </c>
      <c r="C11" s="18" t="inlineStr">
        <is>
          <t>Closed the loop: approved course confirmed visible on the student's Home page (correct semester row) and Explore page (correct category), and its instructor byline correctly links to a working instructor profile page.</t>
        </is>
      </c>
    </row>
    <row r="12" ht="60" customHeight="1">
      <c r="A12" s="18" t="inlineStr">
        <is>
          <t>Real Cloudinary upload</t>
        </is>
      </c>
      <c r="B12" s="17" t="inlineStr">
        <is>
          <t>Not Verified (Unchanged)</t>
        </is>
      </c>
      <c r="C12" s="18" t="inlineStr">
        <is>
          <t>Not re-tested this session — known broken per the Bugs sheet, out of scope for this work.</t>
        </is>
      </c>
    </row>
    <row r="13" ht="60" customHeight="1">
      <c r="A13" s="18" t="inlineStr">
        <is>
          <t>Full structured QA pass over every role's entire UI</t>
        </is>
      </c>
      <c r="B13" s="17" t="inlineStr">
        <is>
          <t>Not Confirmed Done</t>
        </is>
      </c>
      <c r="C13" s="18" t="inlineStr">
        <is>
          <t>This session's manual QA was substantial but targeted at the new feature area, same caveat as the previous audit: not a structured click-through of every existing screen.</t>
        </is>
      </c>
    </row>
  </sheetData>
  <autoFilter ref="A4:C13"/>
  <conditionalFormatting sqref="B5:B13">
    <cfRule type="cellIs" priority="1" operator="equal" dxfId="0">
      <formula>"Done"</formula>
    </cfRule>
    <cfRule type="cellIs" priority="2" operator="equal" dxfId="1">
      <formula>"Partially Done"</formula>
    </cfRule>
    <cfRule type="cellIs" priority="3" operator="equal" dxfId="2">
      <formula>"Broken"</formula>
    </cfRule>
    <cfRule type="cellIs" priority="4" operator="equal" dxfId="3">
      <formula>"Not Started"</formula>
    </cfRule>
    <cfRule type="cellIs" priority="5" operator="equal" dxfId="4">
      <formula>"Fixed This Session"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00" customWidth="1" min="3" max="3"/>
  </cols>
  <sheetData>
    <row r="1">
      <c r="A1" s="9" t="inlineStr">
        <is>
          <t>Deployment Readiness &amp; Scope Check — both unchanged since neither PR touches infra or scope-boundary features</t>
        </is>
      </c>
    </row>
    <row r="4" ht="22" customHeight="1">
      <c r="A4" s="16" t="inlineStr">
        <is>
          <t>Item</t>
        </is>
      </c>
      <c r="B4" s="16" t="inlineStr">
        <is>
          <t>Status</t>
        </is>
      </c>
      <c r="C4" s="16" t="inlineStr">
        <is>
          <t>Detail</t>
        </is>
      </c>
    </row>
    <row r="5" ht="60" customHeight="1">
      <c r="A5" s="18" t="inlineStr">
        <is>
          <t>Persistent deployment</t>
        </is>
      </c>
      <c r="B5" s="17" t="inlineStr">
        <is>
          <t>Not Deployed — Unchanged</t>
        </is>
      </c>
      <c r="C5" s="18" t="inlineStr">
        <is>
          <t>Still no GitHub Deployments/Pages/repo homepage/Dockerfile/vercel.json/render.yaml/Procfile/netlify.toml. Confirmed absent again this session.</t>
        </is>
      </c>
    </row>
    <row r="6" ht="60" customHeight="1">
      <c r="A6" s="18" t="inlineStr">
        <is>
          <t>CI/CD</t>
        </is>
      </c>
      <c r="B6" s="17" t="inlineStr">
        <is>
          <t>Absent — Unchanged</t>
        </is>
      </c>
      <c r="C6" s="18" t="inlineStr">
        <is>
          <t>Still no .github/workflows directory. Nothing runs tests or a build check automatically — confirmed again: two PRs were opened this session and nothing blocks a broken one from merging.</t>
        </is>
      </c>
    </row>
    <row r="7" ht="60" customHeight="1">
      <c r="A7" s="18" t="inlineStr">
        <is>
          <t>.env.example port drift</t>
        </is>
      </c>
      <c r="B7" s="17" t="inlineStr">
        <is>
          <t>Open — Unchanged</t>
        </is>
      </c>
      <c r="C7" s="18" t="inlineStr">
        <is>
          <t>server/.env.example still defaults PORT=5000; actual local dev value is 5050. Confirmed unchanged.</t>
        </is>
      </c>
    </row>
    <row r="8" ht="60" customHeight="1">
      <c r="A8" s="18" t="inlineStr">
        <is>
          <t>CORS/cookies for real prod domains</t>
        </is>
      </c>
      <c r="B8" s="17" t="inlineStr">
        <is>
          <t>Unverified — Unchanged</t>
        </is>
      </c>
      <c r="C8" s="18" t="inlineStr">
        <is>
          <t>Code is written correctly to support this; still never exercised against an actual production domain since nothing is deployed.</t>
        </is>
      </c>
    </row>
    <row r="9" ht="60" customHeight="1">
      <c r="A9" s="18" t="inlineStr">
        <is>
          <t>Hardcoded dev-only data in CheckoutPage</t>
        </is>
      </c>
      <c r="B9" s="17" t="inlineStr">
        <is>
          <t>Open — Unchanged</t>
        </is>
      </c>
      <c r="C9" s="18" t="inlineStr">
        <is>
          <t>client/src/data.js mock data still imported live.</t>
        </is>
      </c>
    </row>
    <row r="12">
      <c r="A12" s="9" t="inlineStr">
        <is>
          <t>Scope Check</t>
        </is>
      </c>
    </row>
    <row r="13" ht="22" customHeight="1">
      <c r="A13" s="16" t="inlineStr">
        <is>
          <t>Item</t>
        </is>
      </c>
      <c r="B13" s="16" t="inlineStr">
        <is>
          <t>Status</t>
        </is>
      </c>
      <c r="C13" s="16" t="inlineStr">
        <is>
          <t>Detail</t>
        </is>
      </c>
    </row>
    <row r="14" ht="60" customHeight="1">
      <c r="A14" s="18" t="inlineStr">
        <is>
          <t>Payments / Stripe</t>
        </is>
      </c>
      <c r="B14" s="17" t="inlineStr">
        <is>
          <t>Out of Scope, Violated by UI</t>
        </is>
      </c>
      <c r="C14" s="18" t="inlineStr">
        <is>
          <t>Unchanged. No real processor integration (zero references), but the fully-built fake payment UI (unwired buttons, '100% secure...30-day money-back guarantee' copy — confirmed still present at CheckoutPage.jsx:304) is still live and reachable, directly contradicting the written no-fake-payment-simulation instruction.</t>
        </is>
      </c>
    </row>
    <row r="15" ht="60" customHeight="1">
      <c r="A15" s="18" t="inlineStr">
        <is>
          <t>Live chat / gamification / wishlist / certificates</t>
        </is>
      </c>
      <c r="B15" s="17" t="inlineStr">
        <is>
          <t>Confirmed Absent — Unchanged</t>
        </is>
      </c>
      <c r="C15" s="18" t="inlineStr">
        <is>
          <t>Re-grepped: zero functional references. Only stale doc mentions / false-positive 'badge' UI hits, same as before.</t>
        </is>
      </c>
    </row>
    <row r="16" ht="60" customHeight="1">
      <c r="A16" s="18" t="inlineStr">
        <is>
          <t>Mobile app</t>
        </is>
      </c>
      <c r="B16" s="17" t="inlineStr">
        <is>
          <t>Correctly Scoped — Unchanged</t>
        </is>
      </c>
      <c r="C16" s="18" t="inlineStr">
        <is>
          <t>Honest 'coming soon' static page.</t>
        </is>
      </c>
    </row>
    <row r="17" ht="60" customHeight="1">
      <c r="A17" s="18" t="inlineStr">
        <is>
          <t>Forgot password</t>
        </is>
      </c>
      <c r="B17" s="17" t="inlineStr">
        <is>
          <t>Correctly Not Implemented, Dead Scaffolding Remains</t>
        </is>
      </c>
      <c r="C17" s="18" t="inlineStr">
        <is>
          <t>Confirmed unchanged: the link is still a bare &lt;a&gt; with no href/onClick (AuthPage.jsx:476), and the forgot-password/OTP rate limiters are still defined but wired to nothing.</t>
        </is>
      </c>
    </row>
  </sheetData>
  <autoFilter ref="A13:C17"/>
  <conditionalFormatting sqref="B5:B9">
    <cfRule type="cellIs" priority="1" operator="equal" dxfId="0">
      <formula>"Done"</formula>
    </cfRule>
    <cfRule type="cellIs" priority="2" operator="equal" dxfId="1">
      <formula>"Partially Done"</formula>
    </cfRule>
    <cfRule type="cellIs" priority="3" operator="equal" dxfId="2">
      <formula>"Broken"</formula>
    </cfRule>
    <cfRule type="cellIs" priority="4" operator="equal" dxfId="3">
      <formula>"Not Started"</formula>
    </cfRule>
    <cfRule type="cellIs" priority="5" operator="equal" dxfId="4">
      <formula>"Fixed This Session"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0" customWidth="1" min="3" max="3"/>
    <col width="90" customWidth="1" min="4" max="4"/>
  </cols>
  <sheetData>
    <row r="1">
      <c r="A1" s="9" t="inlineStr">
        <is>
          <t>Prioritized Punch List — carried forward, re-ordered to reflect what this session actually resolved</t>
        </is>
      </c>
    </row>
    <row r="2">
      <c r="A2" s="15" t="inlineStr">
        <is>
          <t>In order — each item assumes the ones above it are done. Items marked 'DONE THIS SESSION' can be struck from future lists.</t>
        </is>
      </c>
    </row>
    <row r="4" ht="22" customHeight="1">
      <c r="A4" s="16" t="inlineStr">
        <is>
          <t>#</t>
        </is>
      </c>
      <c r="B4" s="16" t="inlineStr">
        <is>
          <t>Item</t>
        </is>
      </c>
      <c r="C4" s="16" t="inlineStr">
        <is>
          <t>Status</t>
        </is>
      </c>
      <c r="D4" s="16" t="inlineStr">
        <is>
          <t>Detail</t>
        </is>
      </c>
    </row>
    <row r="5" ht="60" customHeight="1">
      <c r="A5" s="17" t="n">
        <v>1</v>
      </c>
      <c r="B5" s="18" t="inlineStr">
        <is>
          <t>Fix the isActive crash in LearningPortal.jsx</t>
        </is>
      </c>
      <c r="C5" s="17" t="inlineStr">
        <is>
          <t>STILL OPEN</t>
        </is>
      </c>
      <c r="D5" s="18" t="inlineStr">
        <is>
          <t>Unchanged — blocks core functionality, almost certainly a one-word fix (isActive → isCurrent). Do this first, same as last audit.</t>
        </is>
      </c>
    </row>
    <row r="6" ht="60" customHeight="1">
      <c r="A6" s="17" t="n">
        <v>2</v>
      </c>
      <c r="B6" s="18" t="inlineStr">
        <is>
          <t>Get real Cloudinary credentials into a real environment and verify upload end-to-end</t>
        </is>
      </c>
      <c r="C6" s="17" t="inlineStr">
        <is>
          <t>STILL OPEN</t>
        </is>
      </c>
      <c r="D6" s="18" t="inlineStr">
        <is>
          <t>Unchanged — currently unverified/broken, blocks everything downstream of course creation.</t>
        </is>
      </c>
    </row>
    <row r="7" ht="60" customHeight="1">
      <c r="A7" s="17" t="n">
        <v>3</v>
      </c>
      <c r="B7" s="18" t="inlineStr">
        <is>
          <t>Fix the approve-course status bug ('published' → 'approved') in AdminCourseManagementTab.jsx</t>
        </is>
      </c>
      <c r="C7" s="17" t="inlineStr">
        <is>
          <t>STILL OPEN</t>
        </is>
      </c>
      <c r="D7" s="18" t="inlineStr">
        <is>
          <t>Unchanged — do not confuse with item 4.</t>
        </is>
      </c>
    </row>
    <row r="8" ht="60" customHeight="1">
      <c r="A8" s="17" t="n">
        <v>4</v>
      </c>
      <c r="B8" s="18" t="inlineStr">
        <is>
          <t>Fix the crash when switching Course Management status filter tabs</t>
        </is>
      </c>
      <c r="C8" s="17" t="inlineStr">
        <is>
          <t>DONE THIS SESSION (PR #92, unmerged)</t>
        </is>
      </c>
      <c r="D8" s="18" t="inlineStr">
        <is>
          <t>setSelectedIds orphaned call removed. Merge PR #92 to close this out for real.</t>
        </is>
      </c>
    </row>
    <row r="9" ht="60" customHeight="1">
      <c r="A9" s="17" t="n">
        <v>5</v>
      </c>
      <c r="B9" s="18" t="inlineStr">
        <is>
          <t>Decide the fate of CheckoutPage — replace with a plain enroll flow, or explicitly scope in real payments</t>
        </is>
      </c>
      <c r="C9" s="17" t="inlineStr">
        <is>
          <t>STILL OPEN</t>
        </is>
      </c>
      <c r="D9" s="18" t="inlineStr">
        <is>
          <t>Unchanged.</t>
        </is>
      </c>
    </row>
    <row r="10" ht="60" customHeight="1">
      <c r="A10" s="17" t="n">
        <v>6</v>
      </c>
      <c r="B10" s="18" t="inlineStr">
        <is>
          <t>Remove the hardcoded mock identity from CheckoutPage (client/src/data.js)</t>
        </is>
      </c>
      <c r="C10" s="17" t="inlineStr">
        <is>
          <t>STILL OPEN</t>
        </is>
      </c>
      <c r="D10" s="18" t="inlineStr">
        <is>
          <t>Unchanged.</t>
        </is>
      </c>
    </row>
    <row r="11" ht="60" customHeight="1">
      <c r="A11" s="17" t="n">
        <v>7</v>
      </c>
      <c r="B11" s="18" t="inlineStr">
        <is>
          <t>Triage System Management's placeholder tabs and dead toggles</t>
        </is>
      </c>
      <c r="C11" s="17" t="inlineStr">
        <is>
          <t>STILL OPEN</t>
        </is>
      </c>
      <c r="D11" s="18" t="inlineStr">
        <is>
          <t>Not re-verified line-by-line this session; carried forward.</t>
        </is>
      </c>
    </row>
    <row r="12" ht="60" customHeight="1">
      <c r="A12" s="17" t="n">
        <v>8</v>
      </c>
      <c r="B12" s="18" t="inlineStr">
        <is>
          <t>Fix or remove the fake-success UI cluster</t>
        </is>
      </c>
      <c r="C12" s="17" t="inlineStr">
        <is>
          <t>STILL OPEN</t>
        </is>
      </c>
      <c r="D12" s="18" t="inlineStr">
        <is>
          <t>Unchanged.</t>
        </is>
      </c>
    </row>
    <row r="13" ht="60" customHeight="1">
      <c r="A13" s="17" t="n">
        <v>9</v>
      </c>
      <c r="B13" s="18" t="inlineStr">
        <is>
          <t>Stand up an actual deployment (staging at minimum)</t>
        </is>
      </c>
      <c r="C13" s="17" t="inlineStr">
        <is>
          <t>STILL OPEN</t>
        </is>
      </c>
      <c r="D13" s="18" t="inlineStr">
        <is>
          <t>Unchanged.</t>
        </is>
      </c>
    </row>
    <row r="14" ht="60" customHeight="1">
      <c r="A14" s="17" t="n">
        <v>10</v>
      </c>
      <c r="B14" s="18" t="inlineStr">
        <is>
          <t>Add CI</t>
        </is>
      </c>
      <c r="C14" s="17" t="inlineStr">
        <is>
          <t>STILL OPEN</t>
        </is>
      </c>
      <c r="D14" s="18" t="inlineStr">
        <is>
          <t>Unchanged — more relevant than ever: two more PRs (#92, #93) were opened this session with nothing to gate them.</t>
        </is>
      </c>
    </row>
    <row r="15" ht="60" customHeight="1">
      <c r="A15" s="17" t="n">
        <v>11</v>
      </c>
      <c r="B15" s="18" t="inlineStr">
        <is>
          <t>Merge PR #93 (Home/Explore/Instructor profiles) after review</t>
        </is>
      </c>
      <c r="C15" s="17" t="inlineStr">
        <is>
          <t>NEW THIS SESSION</t>
        </is>
      </c>
      <c r="D15" s="18" t="inlineStr">
        <is>
          <t>Verified live end-to-end this session; ready for review. Depends on nothing else in this list.</t>
        </is>
      </c>
    </row>
    <row r="16" ht="60" customHeight="1">
      <c r="A16" s="17" t="n">
        <v>12</v>
      </c>
      <c r="B16" s="18" t="inlineStr">
        <is>
          <t>Validate Course.semester bounds server-side</t>
        </is>
      </c>
      <c r="C16" s="17" t="inlineStr">
        <is>
          <t>NEW THIS SESSION (minor)</t>
        </is>
      </c>
      <c r="D16" s="18" t="inlineStr">
        <is>
          <t>Small follow-up — no min/max/enum on the new semester field.</t>
        </is>
      </c>
    </row>
    <row r="17" ht="60" customHeight="1">
      <c r="A17" s="17" t="n">
        <v>13</v>
      </c>
      <c r="B17" s="18" t="inlineStr">
        <is>
          <t>Clean up the rest — dead forgot-password scaffolding, dead admin reject-reason code path, .env.example port drift, stale certificate doc mentions, bundle-size warning</t>
        </is>
      </c>
      <c r="C17" s="17" t="inlineStr">
        <is>
          <t>STILL OPEN</t>
        </is>
      </c>
      <c r="D17" s="18" t="inlineStr">
        <is>
          <t>Unchanged.</t>
        </is>
      </c>
    </row>
  </sheetData>
  <autoFilter ref="A4:D17"/>
  <conditionalFormatting sqref="C5:C17">
    <cfRule type="cellIs" priority="1" operator="equal" dxfId="0">
      <formula>"Done"</formula>
    </cfRule>
    <cfRule type="cellIs" priority="2" operator="equal" dxfId="1">
      <formula>"Partially Done"</formula>
    </cfRule>
    <cfRule type="cellIs" priority="3" operator="equal" dxfId="2">
      <formula>"Broken"</formula>
    </cfRule>
    <cfRule type="cellIs" priority="4" operator="equal" dxfId="3">
      <formula>"Not Started"</formula>
    </cfRule>
    <cfRule type="cellIs" priority="5" operator="equal" dxfId="4">
      <formula>"Fixed This Session"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2026-07-28T07:22:17Z</dcterms:created>
  <dcterms:modified xsi:type="dcterms:W3CDTF">2026-07-28T07:22:17Z</dcterms:modified>
</cp:coreProperties>
</file>