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Backlog" sheetId="2" state="visible" r:id="rId2"/>
  </sheets>
  <definedNames>
    <definedName name="_xlnm._FilterDatabase" localSheetId="1" hidden="1">'Master Backlog'!$A$3:$G$64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B91C1C"/>
      <sz val="10"/>
    </font>
    <font>
      <b val="1"/>
      <color rgb="001F2937"/>
      <sz val="16"/>
    </font>
    <font>
      <i val="1"/>
      <color rgb="006B7280"/>
      <sz val="10"/>
    </font>
    <font>
      <b val="1"/>
    </font>
    <font>
      <b val="1"/>
      <color rgb="001F2937"/>
      <sz val="12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DDD6FE"/>
      </patternFill>
    </fill>
    <fill>
      <patternFill patternType="solid">
        <fgColor rgb="00FFFFFF"/>
      </patternFill>
    </fill>
    <fill>
      <patternFill patternType="solid">
        <fgColor rgb="00E5E7EB"/>
      </patternFill>
    </fill>
    <fill>
      <patternFill patternType="solid">
        <fgColor rgb="00FEF08A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INTERNAL ENGINEERING BACKLOG · NOT FOR EXTERNAL DISTRIBUTION</t>
        </is>
      </c>
    </row>
    <row r="3">
      <c r="A3" s="2" t="inlineStr">
        <is>
          <t>Program — Master Backlog</t>
        </is>
      </c>
    </row>
    <row r="4">
      <c r="A4" s="3" t="inlineStr">
        <is>
          <t>Every remaining known item across web dev, security, backend, i18n, testing, deployment, and open PRs — code-verified against current main, not copied from stale docs.</t>
        </is>
      </c>
    </row>
    <row r="6">
      <c r="A6" s="4" t="inlineStr">
        <is>
          <t>Repo</t>
        </is>
      </c>
      <c r="B6" s="5" t="inlineStr">
        <is>
          <t>program-merged-update (omar-abdelazim-dev/program)</t>
        </is>
      </c>
    </row>
    <row r="7">
      <c r="A7" s="4" t="inlineStr">
        <is>
          <t>Baseline</t>
        </is>
      </c>
      <c r="B7" s="5" t="inlineStr">
        <is>
          <t>main @ f2b0bb6 (30 Jul 2026) — includes PR #92, #93, #94, #101, #102, #105, #107, #109, #110, merged and conflict-reconciled this session</t>
        </is>
      </c>
    </row>
    <row r="8">
      <c r="A8" s="4" t="inlineStr">
        <is>
          <t>Predecessor audit</t>
        </is>
      </c>
      <c r="B8" s="5" t="inlineStr">
        <is>
          <t>production-readiness-audit-v2.xlsx, baseline main @ a9de741 — this workbook re-verifies every item from it against the current codebase and adds everything found/opened since</t>
        </is>
      </c>
    </row>
    <row r="9">
      <c r="A9" s="4" t="inlineStr">
        <is>
          <t>Method</t>
        </is>
      </c>
      <c r="B9" s="5" t="inlineStr">
        <is>
          <t>Direct code read of current main + git diff/show against open PR branches + gh issue/pr list + full npm audit incl. devDependencies (client &amp; server) + a dedicated route-level auth/CSRF/upload-validation/error-handling sweep + re-verification of every item the predecessor audit flagged as open</t>
        </is>
      </c>
    </row>
    <row r="10">
      <c r="A10" s="4" t="inlineStr">
        <is>
          <t>Date</t>
        </is>
      </c>
      <c r="B10" s="5" t="inlineStr">
        <is>
          <t>05 Aug 2026</t>
        </is>
      </c>
    </row>
    <row r="12">
      <c r="A12" s="6" t="inlineStr">
        <is>
          <t>Bottom line</t>
        </is>
      </c>
    </row>
    <row r="13">
      <c r="A13" s="5" t="inlineStr">
        <is>
          <t>The i18n/RTL/CMS PR stack (#101,102,105,107,109,110) plus the admin light-mode/lesson-approval PR (#94) are now merged and reconciled — that work is real and I build/test-verified it live. But three CRITICAL pre-existing bugs from the predecessor audit are still exactly as broken as before, untouched by any of this session's merges: the isActive crash that takes down video lesson viewing, placeholder Cloudinary credentials blocking all uploads, and the approve-course status-value bug that makes approved courses vanish from the admin list. This session also found a live security regression (login rate limit gutted 5→5000/15min) and a silent revenue-split regression in the still-open PR #111 — do not merge it as-is. Four dependency vulnerabilities (npm audit, incl. devDependencies) are outstanding, all with non-breaking fixes available except react-router. A dedicated sweep this session confirmed the core auth/CSRF/upload/error-handling foundation is genuinely sound: every mutating route is gated, CSRF double-submit is real and enforced, file uploads are size/mimetype validated, production errors never leak internals, and no secrets have ever been committed. There is still no CI/CD and no deployment anywhere, so nothing currently blocks a broken PR from being merged by hand.</t>
        </is>
      </c>
    </row>
    <row r="14"/>
    <row r="15"/>
    <row r="16"/>
    <row r="19">
      <c r="A19" s="6" t="inlineStr">
        <is>
          <t>Counts by priority (Master Backlog sheet)</t>
        </is>
      </c>
    </row>
    <row r="20">
      <c r="A20" s="4" t="inlineStr">
        <is>
          <t>Critical</t>
        </is>
      </c>
      <c r="B20">
        <f>COUNTIF('Master Backlog'!D:D,"Critical")</f>
        <v/>
      </c>
    </row>
    <row r="21">
      <c r="A21" s="4" t="inlineStr">
        <is>
          <t>High</t>
        </is>
      </c>
      <c r="B21">
        <f>COUNTIF('Master Backlog'!D:D,"High")</f>
        <v/>
      </c>
    </row>
    <row r="22">
      <c r="A22" s="4" t="inlineStr">
        <is>
          <t>Medium</t>
        </is>
      </c>
      <c r="B22">
        <f>COUNTIF('Master Backlog'!D:D,"Medium")</f>
        <v/>
      </c>
    </row>
    <row r="23">
      <c r="A23" s="4" t="inlineStr">
        <is>
          <t>Low</t>
        </is>
      </c>
      <c r="B23">
        <f>COUNTIF('Master Backlog'!D:D,"Low")</f>
        <v/>
      </c>
    </row>
    <row r="24">
      <c r="A24" s="4" t="inlineStr">
        <is>
          <t>Total tracked items</t>
        </is>
      </c>
      <c r="B24">
        <f>COUNTA('Master Backlog'!A:A)-1</f>
        <v/>
      </c>
    </row>
  </sheetData>
  <mergeCells count="6">
    <mergeCell ref="B7:F7"/>
    <mergeCell ref="B6:F6"/>
    <mergeCell ref="B10:F10"/>
    <mergeCell ref="A13:F16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11" customWidth="1" min="4" max="4"/>
    <col width="16" customWidth="1" min="5" max="5"/>
    <col width="28" customWidth="1" min="6" max="6"/>
    <col width="90" customWidth="1" min="7" max="7"/>
  </cols>
  <sheetData>
    <row r="1">
      <c r="A1" t="inlineStr">
        <is>
          <t>Every backlog item currently known — web dev, security, backend, i18n, testing, deployment. Filter/sort freely; each row is independent.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s="7" t="inlineStr">
        <is>
          <t>#</t>
        </is>
      </c>
      <c r="B3" s="7" t="inlineStr">
        <is>
          <t>Category</t>
        </is>
      </c>
      <c r="C3" s="7" t="inlineStr">
        <is>
          <t>Item</t>
        </is>
      </c>
      <c r="D3" s="7" t="inlineStr">
        <is>
          <t>Priority</t>
        </is>
      </c>
      <c r="E3" s="7" t="inlineStr">
        <is>
          <t>Status</t>
        </is>
      </c>
      <c r="F3" s="7" t="inlineStr">
        <is>
          <t>Source</t>
        </is>
      </c>
      <c r="G3" s="7" t="inlineStr">
        <is>
          <t>Detail</t>
        </is>
      </c>
    </row>
    <row r="4" ht="60" customHeight="1">
      <c r="A4" s="8" t="n">
        <v>1</v>
      </c>
      <c r="B4" s="8" t="inlineStr">
        <is>
          <t>Security</t>
        </is>
      </c>
      <c r="C4" s="8" t="inlineStr">
        <is>
          <t>Login rate limiter gutted (5 → 5000 attempts/15min)</t>
        </is>
      </c>
      <c r="D4" s="9" t="inlineStr">
        <is>
          <t>Critical</t>
        </is>
      </c>
      <c r="E4" s="10" t="inlineStr">
        <is>
          <t>Blocked</t>
        </is>
      </c>
      <c r="F4" s="8" t="inlineStr">
        <is>
          <t>PR #111 (unmerged)</t>
        </is>
      </c>
      <c r="G4" s="8" t="inlineStr">
        <is>
          <t>server/config/security.js changes RATE_LIMITS.login.max from 5 to 5000, effectively disabling brute-force protection on /api/auth/login. Confirmed via diff against main. Must be reverted before this PR can merge under any circumstances.</t>
        </is>
      </c>
    </row>
    <row r="5" ht="60" customHeight="1">
      <c r="A5" s="8" t="n">
        <v>2</v>
      </c>
      <c r="B5" s="8" t="inlineStr">
        <is>
          <t>Security</t>
        </is>
      </c>
      <c r="C5" s="8" t="inlineStr">
        <is>
          <t>Revenue-split logic silently ignores admin-configured commission</t>
        </is>
      </c>
      <c r="D5" s="11" t="inlineStr">
        <is>
          <t>High</t>
        </is>
      </c>
      <c r="E5" s="12" t="inlineStr">
        <is>
          <t>Needs decision</t>
        </is>
      </c>
      <c r="F5" s="8" t="inlineStr">
        <is>
          <t>PR #111 (unmerged) + Issue #62</t>
        </is>
      </c>
      <c r="G5" s="8" t="inlineStr">
        <is>
          <t>enrollmentController.js previously read SystemConfig.financial.commission (admin-configurable via the Commission Slider in System Management, default 15% platform/85% instructor). PR #111 replaces this with hardcoded 70/30 and 85/15 splits, making the Commission Slider UI silently non-functional. Needs a product decision, not a silent merge.</t>
        </is>
      </c>
    </row>
    <row r="6" ht="60" customHeight="1">
      <c r="A6" s="8" t="n">
        <v>3</v>
      </c>
      <c r="B6" s="8" t="inlineStr">
        <is>
          <t>Security</t>
        </is>
      </c>
      <c r="C6" s="8" t="inlineStr">
        <is>
          <t>Dependency vulnerability: ip-address (server)</t>
        </is>
      </c>
      <c r="D6" s="11" t="inlineStr">
        <is>
          <t>High</t>
        </is>
      </c>
      <c r="E6" s="13" t="inlineStr">
        <is>
          <t>Open</t>
        </is>
      </c>
      <c r="F6" s="8" t="inlineStr">
        <is>
          <t>npm audit (server)</t>
        </is>
      </c>
      <c r="G6" s="8" t="inlineStr">
        <is>
          <t>High-severity SSRF/trust-boundary bypass in the ip-address package (leading-zero octet decoding). Fix available via `npm audit fix` (non-breaking).</t>
        </is>
      </c>
    </row>
    <row r="7" ht="60" customHeight="1">
      <c r="A7" s="8" t="n">
        <v>4</v>
      </c>
      <c r="B7" s="8" t="inlineStr">
        <is>
          <t>Security</t>
        </is>
      </c>
      <c r="C7" s="8" t="inlineStr">
        <is>
          <t>Dependency vulnerability: brace-expansion (server, dev dependency)</t>
        </is>
      </c>
      <c r="D7" s="11" t="inlineStr">
        <is>
          <t>High</t>
        </is>
      </c>
      <c r="E7" s="13" t="inlineStr">
        <is>
          <t>Open</t>
        </is>
      </c>
      <c r="F7" s="8" t="inlineStr">
        <is>
          <t>npm audit (server, full — including devDependencies, missed in the first pass)</t>
        </is>
      </c>
      <c r="G7" s="8" t="inlineStr">
        <is>
          <t>High-severity DoS via unbounded expansion length causing an out-of-memory crash. Dev-tooling only, not shipped to production, but still a real supply-chain risk in CI/local dev. Fix available via `npm audit fix` (non-breaking).</t>
        </is>
      </c>
    </row>
    <row r="8" ht="60" customHeight="1">
      <c r="A8" s="8" t="n">
        <v>5</v>
      </c>
      <c r="B8" s="8" t="inlineStr">
        <is>
          <t>Security</t>
        </is>
      </c>
      <c r="C8" s="8" t="inlineStr">
        <is>
          <t>Dependency vulnerability: postcss (client, dev dependency / build tooling)</t>
        </is>
      </c>
      <c r="D8" s="11" t="inlineStr">
        <is>
          <t>High</t>
        </is>
      </c>
      <c r="E8" s="13" t="inlineStr">
        <is>
          <t>Open</t>
        </is>
      </c>
      <c r="F8" s="8" t="inlineStr">
        <is>
          <t>npm audit (client, full — including devDependencies, missed in the first pass)</t>
        </is>
      </c>
      <c r="G8" s="8" t="inlineStr">
        <is>
          <t>High-severity path traversal via sourceMappingURL auto-loading, can disclose arbitrary .map files. Build-tooling only (not shipped to the browser bundle), but worth fixing. Fix available via `npm audit fix` (non-breaking).</t>
        </is>
      </c>
    </row>
    <row r="9" ht="60" customHeight="1">
      <c r="A9" s="8" t="n">
        <v>6</v>
      </c>
      <c r="B9" s="8" t="inlineStr">
        <is>
          <t>Security</t>
        </is>
      </c>
      <c r="C9" s="8" t="inlineStr">
        <is>
          <t>JWT sign/verify don't pin an explicit algorithms allowlist</t>
        </is>
      </c>
      <c r="D9" s="14" t="inlineStr">
        <is>
          <t>Low</t>
        </is>
      </c>
      <c r="E9" s="13" t="inlineStr">
        <is>
          <t>Open</t>
        </is>
      </c>
      <c r="F9" s="8" t="inlineStr">
        <is>
          <t>Checked this session</t>
        </is>
      </c>
      <c r="G9" s="8" t="inlineStr">
        <is>
          <t>server/utils/generateToken.js and authMiddleware.js call jwt.sign()/jwt.verify() without an explicit `algorithms: ['HS256']` option. Modern jsonwebtoken versions handle this reasonably by default and the secret is never exposed, so this isn't an active exploit path — but pinning the algorithm explicitly is a standard OWASP-recommended hardening step and costs nothing to add.</t>
        </is>
      </c>
    </row>
    <row r="10" ht="60" customHeight="1">
      <c r="A10" s="8" t="n">
        <v>7</v>
      </c>
      <c r="B10" s="8" t="inlineStr">
        <is>
          <t>Security</t>
        </is>
      </c>
      <c r="C10" s="8" t="inlineStr">
        <is>
          <t>Dependency vulnerability: react-router / react-router-dom (client)</t>
        </is>
      </c>
      <c r="D10" s="11" t="inlineStr">
        <is>
          <t>High</t>
        </is>
      </c>
      <c r="E10" s="13" t="inlineStr">
        <is>
          <t>Open</t>
        </is>
      </c>
      <c r="F10" s="8" t="inlineStr">
        <is>
          <t>npm audit (client)</t>
        </is>
      </c>
      <c r="G10" s="8" t="inlineStr">
        <is>
          <t>High-severity CSRF bypass in RSC mode. Fix requires `npm audit fix --force` (downgrades to react-router-dom@7.11.0, a breaking change) — needs a regression pass on routing after upgrading.</t>
        </is>
      </c>
    </row>
    <row r="11" ht="60" customHeight="1">
      <c r="A11" s="8" t="n">
        <v>8</v>
      </c>
      <c r="B11" s="8" t="inlineStr">
        <is>
          <t>Security</t>
        </is>
      </c>
      <c r="C11" s="8" t="inlineStr">
        <is>
          <t>PR #82 — Advanced Auth / Refresh Tokens / Session Hardening is unmerged and now conflicting</t>
        </is>
      </c>
      <c r="D11" s="11" t="inlineStr">
        <is>
          <t>High</t>
        </is>
      </c>
      <c r="E11" s="10" t="inlineStr">
        <is>
          <t>Blocked</t>
        </is>
      </c>
      <c r="F11" s="8" t="inlineStr">
        <is>
          <t>PR #82 (open)</t>
        </is>
      </c>
      <c r="G11" s="8" t="inlineStr">
        <is>
          <t>Real security value: refresh token rotation (SHA-256 hashed at rest), account lockout after 5 failed logins, per-device session tracking + remote revoke, password-change global session invalidation, CORS 403 hardening. Currently CONFLICTING against main and was never reviewed/merged. Needs a rebase and full review.</t>
        </is>
      </c>
    </row>
    <row r="12" ht="60" customHeight="1">
      <c r="A12" s="8" t="n">
        <v>9</v>
      </c>
      <c r="B12" s="8" t="inlineStr">
        <is>
          <t>Security</t>
        </is>
      </c>
      <c r="C12" s="8" t="inlineStr">
        <is>
          <t>Epic: Advanced Authentication &amp; Security Enhancements</t>
        </is>
      </c>
      <c r="D12" s="15" t="inlineStr">
        <is>
          <t>Medium</t>
        </is>
      </c>
      <c r="E12" s="16" t="inlineStr">
        <is>
          <t>Epic / not started</t>
        </is>
      </c>
      <c r="F12" s="8" t="inlineStr">
        <is>
          <t>Issue #76 (open)</t>
        </is>
      </c>
      <c r="G12" s="8" t="inlineStr">
        <is>
          <t>MFA/TOTP (Google/Microsoft Authenticator, recovery codes), bot protection (reCAPTCHA/Turnstile) on login/register/forgot-password, real email verification service with templates/queue/retry, device fingerprinting + new-device/suspicious-login alerts, security notification emails. No work started.</t>
        </is>
      </c>
    </row>
    <row r="13" ht="60" customHeight="1">
      <c r="A13" s="8" t="n">
        <v>10</v>
      </c>
      <c r="B13" s="8" t="inlineStr">
        <is>
          <t>Security</t>
        </is>
      </c>
      <c r="C13" s="8" t="inlineStr">
        <is>
          <t>Epic: Advanced Platform Security, Monitoring &amp; Compliance</t>
        </is>
      </c>
      <c r="D13" s="15" t="inlineStr">
        <is>
          <t>Medium</t>
        </is>
      </c>
      <c r="E13" s="16" t="inlineStr">
        <is>
          <t>Epic / not started</t>
        </is>
      </c>
      <c r="F13" s="8" t="inlineStr">
        <is>
          <t>Issue #77 (open)</t>
        </is>
      </c>
      <c r="G13" s="8" t="inlineStr">
        <is>
          <t>Security dashboard + failed-login analytics, SIEM export (syslog/ELK/Splunk/Sentinel), threat intel (IP reputation, GeoIP, VPN/TOR detection), API key management + abuse detection, GDPR tooling (data export, right-to-delete, consent, privacy audit logs), automated DB backup + restore validation, scheduled dependency/secret/container scans. No work started.</t>
        </is>
      </c>
    </row>
    <row r="14" ht="60" customHeight="1">
      <c r="A14" s="8" t="n">
        <v>11</v>
      </c>
      <c r="B14" s="8" t="inlineStr">
        <is>
          <t>Security</t>
        </is>
      </c>
      <c r="C14" s="8" t="inlineStr">
        <is>
          <t>toggleProgramInstructor admin endpoint has no audit log entry</t>
        </is>
      </c>
      <c r="D14" s="14" t="inlineStr">
        <is>
          <t>Low</t>
        </is>
      </c>
      <c r="E14" s="10" t="inlineStr">
        <is>
          <t>Blocked</t>
        </is>
      </c>
      <c r="F14" s="8" t="inlineStr">
        <is>
          <t>PR #111 (unmerged)</t>
        </is>
      </c>
      <c r="G14" s="8" t="inlineStr">
        <is>
          <t>Sibling sensitive admin actions (toggleBlockUser, changeUserRole) call the audit-log helper (userId/targetId/severity/metadata); the new program-instructor toggle endpoint does not. Correctly gated to admin/superadmin via the router, just missing the log entry.</t>
        </is>
      </c>
    </row>
    <row r="15" ht="60" customHeight="1">
      <c r="A15" s="8" t="n">
        <v>12</v>
      </c>
      <c r="B15" s="8" t="inlineStr">
        <is>
          <t>Security</t>
        </is>
      </c>
      <c r="C15" s="8" t="inlineStr">
        <is>
          <t>Encoding corruption (UTF-8 BOM + mojibake) in two backend files</t>
        </is>
      </c>
      <c r="D15" s="14" t="inlineStr">
        <is>
          <t>Low</t>
        </is>
      </c>
      <c r="E15" s="10" t="inlineStr">
        <is>
          <t>Blocked</t>
        </is>
      </c>
      <c r="F15" s="8" t="inlineStr">
        <is>
          <t>PR #111 (unmerged)</t>
        </is>
      </c>
      <c r="G15" s="8" t="inlineStr">
        <is>
          <t>server/models/User.js and server/controllers/adminController.js each got a stray UTF-8 BOM prepended and every em-dash in comments mangled to â€”. Comments only, no functional impact, but signals the dev's local tooling is corrupting files it touches — worth asking the author to fix their script.</t>
        </is>
      </c>
    </row>
    <row r="16" ht="60" customHeight="1">
      <c r="A16" s="8" t="n">
        <v>13</v>
      </c>
      <c r="B16" s="8" t="inlineStr">
        <is>
          <t>Security</t>
        </is>
      </c>
      <c r="C16" s="8" t="inlineStr">
        <is>
          <t>Forgot-password rate limiters defined but wired to nothing</t>
        </is>
      </c>
      <c r="D16" s="14" t="inlineStr">
        <is>
          <t>Low</t>
        </is>
      </c>
      <c r="E16" s="13" t="inlineStr">
        <is>
          <t>Open</t>
        </is>
      </c>
      <c r="F16" s="8" t="inlineStr">
        <is>
          <t>Predecessor audit, re-verified this session</t>
        </is>
      </c>
      <c r="G16" s="8" t="inlineStr">
        <is>
          <t>Correctly out of scope per CLAUDE.md (no forgot-password flow), but the forgot-password/OTP rate limiter configs still exist unused in the codebase — dead scaffolding worth removing for clarity, or wiring up if the feature ever gets built.</t>
        </is>
      </c>
    </row>
    <row r="17" ht="60" customHeight="1">
      <c r="A17" s="8" t="n">
        <v>14</v>
      </c>
      <c r="B17" s="8" t="inlineStr">
        <is>
          <t>Security</t>
        </is>
      </c>
      <c r="C17" s="8" t="inlineStr">
        <is>
          <t>getCourseById isAdmin check only tests role==='admin', not 'superadmin'</t>
        </is>
      </c>
      <c r="D17" s="14" t="inlineStr">
        <is>
          <t>Low</t>
        </is>
      </c>
      <c r="E17" s="13" t="inlineStr">
        <is>
          <t>Open</t>
        </is>
      </c>
      <c r="F17" s="8" t="inlineStr">
        <is>
          <t>Predecessor audit, re-verified this session</t>
        </is>
      </c>
      <c r="G17" s="8" t="inlineStr">
        <is>
          <t>courseController.js:254. Minor inconsistency — a superadmin viewing a non-approved course's details may be treated as a non-privileged viewer depending on the rest of the gating logic. Not a security hole (superadmins aren't blocked elsewhere), just an inconsistent check worth tidying.</t>
        </is>
      </c>
    </row>
    <row r="18" ht="60" customHeight="1">
      <c r="A18" s="8" t="n">
        <v>15</v>
      </c>
      <c r="B18" s="8" t="inlineStr">
        <is>
          <t>Security</t>
        </is>
      </c>
      <c r="C18" s="8" t="inlineStr">
        <is>
          <t>Cookies / password hashing / JWT secret / input sanitization / CORS / error handling</t>
        </is>
      </c>
      <c r="D18" s="14" t="inlineStr">
        <is>
          <t>Low</t>
        </is>
      </c>
      <c r="E18" s="17" t="inlineStr">
        <is>
          <t>Verified OK</t>
        </is>
      </c>
      <c r="F18" s="8" t="inlineStr">
        <is>
          <t>Predecessor audit + spot-checked this session</t>
        </is>
      </c>
      <c r="G18" s="8" t="inlineStr">
        <is>
          <t>httpOnly cookies, bcrypt cost 12 with select:false, JWT secret from env, global mongo-sanitize + XSS middleware, env-driven CORS allowlist, and the production error handler (never leaks stack traces/DB internals to the client, logs full detail server-side via Winston) — all confirmed sound, no regressions from anything merged this session.</t>
        </is>
      </c>
    </row>
    <row r="19" ht="60" customHeight="1">
      <c r="A19" s="8" t="n">
        <v>16</v>
      </c>
      <c r="B19" s="8" t="inlineStr">
        <is>
          <t>Security</t>
        </is>
      </c>
      <c r="C19" s="8" t="inlineStr">
        <is>
          <t>Full route-level auth sweep — no unprotected mutating endpoint found</t>
        </is>
      </c>
      <c r="D19" s="14" t="inlineStr">
        <is>
          <t>Low</t>
        </is>
      </c>
      <c r="E19" s="17" t="inlineStr">
        <is>
          <t>Verified OK</t>
        </is>
      </c>
      <c r="F19" s="8" t="inlineStr">
        <is>
          <t>Done this session in response to a direct question about security completeness</t>
        </is>
      </c>
      <c r="G19" s="8" t="inlineStr">
        <is>
          <t>Grepped every POST/PUT/PATCH/DELETE across every file in server/routes/ and confirmed each is gated by protect (and authorize(...) where role-restricted), either inline or via a router.use(protect, authorize(...)) guard at the top of the file (adminRoutes, systemConfigRoutes, websiteRoutes). instructorRoutes is intentionally GET-only/public. No gaps found.</t>
        </is>
      </c>
    </row>
    <row r="20" ht="60" customHeight="1">
      <c r="A20" s="8" t="n">
        <v>17</v>
      </c>
      <c r="B20" s="8" t="inlineStr">
        <is>
          <t>Security</t>
        </is>
      </c>
      <c r="C20" s="8" t="inlineStr">
        <is>
          <t>CSRF double-submit cookie check — verified real and correctly scoped</t>
        </is>
      </c>
      <c r="D20" s="14" t="inlineStr">
        <is>
          <t>Low</t>
        </is>
      </c>
      <c r="E20" s="17" t="inlineStr">
        <is>
          <t>Verified OK</t>
        </is>
      </c>
      <c r="F20" s="8" t="inlineStr">
        <is>
          <t>Done this session</t>
        </is>
      </c>
      <c r="G20" s="8" t="inlineStr">
        <is>
          <t>authMiddleware.js's protect middleware compares the non-httpOnly csrfToken cookie against an X-CSRF-Token header on every POST/PUT/PATCH/DELETE and rejects with 403 on mismatch — a real, working double-submit CSRF defense, not just a cookie being set with nothing checking it.</t>
        </is>
      </c>
    </row>
    <row r="21" ht="60" customHeight="1">
      <c r="A21" s="8" t="n">
        <v>18</v>
      </c>
      <c r="B21" s="8" t="inlineStr">
        <is>
          <t>Security</t>
        </is>
      </c>
      <c r="C21" s="8" t="inlineStr">
        <is>
          <t>File upload validation — verified real (size limits + mimetype filtering)</t>
        </is>
      </c>
      <c r="D21" s="14" t="inlineStr">
        <is>
          <t>Low</t>
        </is>
      </c>
      <c r="E21" s="17" t="inlineStr">
        <is>
          <t>Verified OK</t>
        </is>
      </c>
      <c r="F21" s="8" t="inlineStr">
        <is>
          <t>Done this session</t>
        </is>
      </c>
      <c r="G21" s="8" t="inlineStr">
        <is>
          <t>server/middleware/upload.js enforces per-type size limits (500MB video / 5MB image / 20MB document) and a fileFilter rejecting mismatched mimetypes for all three upload routes, with a wrapper that turns multer errors into proper 400s instead of a generic 500.</t>
        </is>
      </c>
    </row>
    <row r="22" ht="60" customHeight="1">
      <c r="A22" s="8" t="n">
        <v>19</v>
      </c>
      <c r="B22" s="8" t="inlineStr">
        <is>
          <t>Security</t>
        </is>
      </c>
      <c r="C22" s="8" t="inlineStr">
        <is>
          <t>Register endpoint role restriction — verified server-enforced</t>
        </is>
      </c>
      <c r="D22" s="14" t="inlineStr">
        <is>
          <t>Low</t>
        </is>
      </c>
      <c r="E22" s="17" t="inlineStr">
        <is>
          <t>Verified OK</t>
        </is>
      </c>
      <c r="F22" s="8" t="inlineStr">
        <is>
          <t>Done this session</t>
        </is>
      </c>
      <c r="G22" s="8" t="inlineStr">
        <is>
          <t>authController.js computes safeRole server-side (role === 'instructor' ? 'instructor' : 'student') and ignores any other client-supplied role value — a public registration request cannot self-elevate to admin/superadmin.</t>
        </is>
      </c>
    </row>
    <row r="23" ht="60" customHeight="1">
      <c r="A23" s="8" t="n">
        <v>20</v>
      </c>
      <c r="B23" s="8" t="inlineStr">
        <is>
          <t>Security</t>
        </is>
      </c>
      <c r="C23" s="8" t="inlineStr">
        <is>
          <t>No secrets ever committed to git history</t>
        </is>
      </c>
      <c r="D23" s="14" t="inlineStr">
        <is>
          <t>Low</t>
        </is>
      </c>
      <c r="E23" s="17" t="inlineStr">
        <is>
          <t>Verified OK</t>
        </is>
      </c>
      <c r="F23" s="8" t="inlineStr">
        <is>
          <t>Done this session</t>
        </is>
      </c>
      <c r="G23" s="8" t="inlineStr">
        <is>
          <t>git log --all over server/.env returns no history — the real .env file has never been committed. .gitignore correctly excludes .env/.env.local/.env.* while allow-listing .env.example.</t>
        </is>
      </c>
    </row>
    <row r="24" ht="60" customHeight="1">
      <c r="A24" s="8" t="n">
        <v>21</v>
      </c>
      <c r="B24" s="8" t="inlineStr">
        <is>
          <t>Backend</t>
        </is>
      </c>
      <c r="C24" s="8" t="inlineStr">
        <is>
          <t>LearningPortal.jsx crashes on undefined `isActive`</t>
        </is>
      </c>
      <c r="D24" s="9" t="inlineStr">
        <is>
          <t>Critical</t>
        </is>
      </c>
      <c r="E24" s="13" t="inlineStr">
        <is>
          <t>Open</t>
        </is>
      </c>
      <c r="F24" s="8" t="inlineStr">
        <is>
          <t>Predecessor audit, re-verified this session (still present on current main)</t>
        </is>
      </c>
      <c r="G24" s="8" t="inlineStr">
        <is>
          <t>LearningPortal.jsx:474-475 references `isActive`, which is never declared in scope — the correct variable is `isCurrent`, declared at line 418. Throws a ReferenceError on any course with lessons, taking down the entire video-lesson viewing flow for students. One-line fix (rename to isCurrent). Not touched by any PR merged this session.</t>
        </is>
      </c>
    </row>
    <row r="25" ht="60" customHeight="1">
      <c r="A25" s="8" t="n">
        <v>22</v>
      </c>
      <c r="B25" s="8" t="inlineStr">
        <is>
          <t>Backend</t>
        </is>
      </c>
      <c r="C25" s="8" t="inlineStr">
        <is>
          <t>Cloudinary credentials are still literal placeholders</t>
        </is>
      </c>
      <c r="D25" s="9" t="inlineStr">
        <is>
          <t>Critical</t>
        </is>
      </c>
      <c r="E25" s="13" t="inlineStr">
        <is>
          <t>Open</t>
        </is>
      </c>
      <c r="F25" s="8" t="inlineStr">
        <is>
          <t>Predecessor audit, re-verified this session</t>
        </is>
      </c>
      <c r="G25" s="8" t="inlineStr">
        <is>
          <t>server/.env has CLOUDINARY_API_KEY=your_api_key etc. — all video/image uploads are non-functional until real credentials are set. Environment-specific, not a code bug, but blocks everything downstream of course/lesson creation.</t>
        </is>
      </c>
    </row>
    <row r="26" ht="60" customHeight="1">
      <c r="A26" s="8" t="n">
        <v>23</v>
      </c>
      <c r="B26" s="8" t="inlineStr">
        <is>
          <t>Backend</t>
        </is>
      </c>
      <c r="C26" s="8" t="inlineStr">
        <is>
          <t>Admin approve-course sets status:'published', not 'approved'</t>
        </is>
      </c>
      <c r="D26" s="15" t="inlineStr">
        <is>
          <t>Medium</t>
        </is>
      </c>
      <c r="E26" s="13" t="inlineStr">
        <is>
          <t>Open</t>
        </is>
      </c>
      <c r="F26" s="8" t="inlineStr">
        <is>
          <t>Predecessor audit, re-verified this session (still present on current main)</t>
        </is>
      </c>
      <c r="G26" s="8" t="inlineStr">
        <is>
          <t>AdminCourseManagementTab.jsx:197 — handleApprove writes status:'published', which matches neither the 'Approved' nor 'Pending' filter tab (the real Course.status enum is pending/approved/rejected). Approved courses vanish from the admin list until a manual page refresh. Different bug from the filter-crash PR #92 already fixed — do not conflate the two.</t>
        </is>
      </c>
    </row>
    <row r="27" ht="60" customHeight="1">
      <c r="A27" s="8" t="n">
        <v>24</v>
      </c>
      <c r="B27" s="8" t="inlineStr">
        <is>
          <t>Backend</t>
        </is>
      </c>
      <c r="C27" s="8" t="inlineStr">
        <is>
          <t>Scope decision: Course/Lesson admin management schema mismatch</t>
        </is>
      </c>
      <c r="D27" s="11" t="inlineStr">
        <is>
          <t>High</t>
        </is>
      </c>
      <c r="E27" s="12" t="inlineStr">
        <is>
          <t>Needs decision</t>
        </is>
      </c>
      <c r="F27" s="8" t="inlineStr">
        <is>
          <t>Issue #59 (open)</t>
        </is>
      </c>
      <c r="G27" s="8" t="inlineStr">
        <is>
          <t>A separate unmerged PR lineage (#56) uses a draft/published/archived/hidden/rejected status vocabulary and a Lesson→Section schema migration that doesn't match main's actual pending/approved/rejected model and direct Lesson.course reference. Needs either a rewrite against the current schema or an explicit, reviewed Section migration — not a casual merge.</t>
        </is>
      </c>
    </row>
    <row r="28" ht="60" customHeight="1">
      <c r="A28" s="8" t="n">
        <v>25</v>
      </c>
      <c r="B28" s="8" t="inlineStr">
        <is>
          <t>Backend</t>
        </is>
      </c>
      <c r="C28" s="8" t="inlineStr">
        <is>
          <t>Scope decision: Website Management module</t>
        </is>
      </c>
      <c r="D28" s="15" t="inlineStr">
        <is>
          <t>Medium</t>
        </is>
      </c>
      <c r="E28" s="12" t="inlineStr">
        <is>
          <t>Needs decision</t>
        </is>
      </c>
      <c r="F28" s="8" t="inlineStr">
        <is>
          <t>Issue #60 (open) — partially superseded by PR #107</t>
        </is>
      </c>
      <c r="G28" s="8" t="inlineStr">
        <is>
          <t>Full CMS (homepage hero/banner, About/FAQ/Contact/Testimonials editors) with a ConfigProvider wrapping the whole app. PR #107's Landing Page CMS shipped part of this already this session — re-check what #60 still covers that #107 doesn't before scoping further work.</t>
        </is>
      </c>
    </row>
    <row r="29" ht="60" customHeight="1">
      <c r="A29" s="8" t="n">
        <v>26</v>
      </c>
      <c r="B29" s="8" t="inlineStr">
        <is>
          <t>Backend</t>
        </is>
      </c>
      <c r="C29" s="8" t="inlineStr">
        <is>
          <t>Scope decision: System Management / maintenance lock / registration gating</t>
        </is>
      </c>
      <c r="D29" s="11" t="inlineStr">
        <is>
          <t>High</t>
        </is>
      </c>
      <c r="E29" s="12" t="inlineStr">
        <is>
          <t>Needs decision</t>
        </is>
      </c>
      <c r="F29" s="8" t="inlineStr">
        <is>
          <t>Issue #61 (open)</t>
        </is>
      </c>
      <c r="G29" s="8" t="inlineStr">
        <is>
          <t>Touches the login/register path directly (config-driven maintenance lock, .edu email gating, config-driven JWT expiry) — CLAUDE.md explicitly flags backend auth as reviewed/stable and asks to check before changing it. Needs its own focused review, not a bundled dashboard PR.</t>
        </is>
      </c>
    </row>
    <row r="30" ht="60" customHeight="1">
      <c r="A30" s="8" t="n">
        <v>27</v>
      </c>
      <c r="B30" s="8" t="inlineStr">
        <is>
          <t>Backend</t>
        </is>
      </c>
      <c r="C30" s="8" t="inlineStr">
        <is>
          <t>Scope decision: revenue/commission-split logic presents fabricated financial data</t>
        </is>
      </c>
      <c r="D30" s="11" t="inlineStr">
        <is>
          <t>High</t>
        </is>
      </c>
      <c r="E30" s="12" t="inlineStr">
        <is>
          <t>Needs decision</t>
        </is>
      </c>
      <c r="F30" s="8" t="inlineStr">
        <is>
          <t>Issue #62 (open) + PR #111</t>
        </is>
      </c>
      <c r="G30" s="8" t="inlineStr">
        <is>
          <t>CommissionSlider.jsx + per-enrollment platformCommission/instructorShare computation exists with no real payment processor behind it — CLAUDE.md says no payments/Stripe, price is display-only. Needs a decision: scope in real payments properly, or drop the fabricated-accounting UI. PR #111 compounds this by hardcoding the split (see Security sheet row above).</t>
        </is>
      </c>
    </row>
    <row r="31" ht="60" customHeight="1">
      <c r="A31" s="8" t="n">
        <v>28</v>
      </c>
      <c r="B31" s="8" t="inlineStr">
        <is>
          <t>Backend</t>
        </is>
      </c>
      <c r="C31" s="8" t="inlineStr">
        <is>
          <t>AdminOverviewTab dashboard stats have hardcoded fallback numbers</t>
        </is>
      </c>
      <c r="D31" s="15" t="inlineStr">
        <is>
          <t>Medium</t>
        </is>
      </c>
      <c r="E31" s="13" t="inlineStr">
        <is>
          <t>Open</t>
        </is>
      </c>
      <c r="F31" s="8" t="inlineStr">
        <is>
          <t>Predecessor audit, not touched by any merged PR</t>
        </is>
      </c>
      <c r="G31" s="8" t="inlineStr">
        <is>
          <t>AdminOverviewTab.jsx:51-59 masks genuine zero-values with hardcoded fallback numbers — an admin could see plausible-looking stats that aren't real.</t>
        </is>
      </c>
    </row>
    <row r="32" ht="60" customHeight="1">
      <c r="A32" s="8" t="n">
        <v>29</v>
      </c>
      <c r="B32" s="8" t="inlineStr">
        <is>
          <t>Backend</t>
        </is>
      </c>
      <c r="C32" s="8" t="inlineStr">
        <is>
          <t>Course.semester has no bounds validation</t>
        </is>
      </c>
      <c r="D32" s="14" t="inlineStr">
        <is>
          <t>Low</t>
        </is>
      </c>
      <c r="E32" s="13" t="inlineStr">
        <is>
          <t>Open</t>
        </is>
      </c>
      <c r="F32" s="8" t="inlineStr">
        <is>
          <t>Predecessor audit, re-verified this session</t>
        </is>
      </c>
      <c r="G32" s="8" t="inlineStr">
        <is>
          <t>Plain Number with no min/max/enum — an instructor could set 0, -5, or 9999. Not exploitable, just a silent data-quality gap (course would never appear in any Home semester row).</t>
        </is>
      </c>
    </row>
    <row r="33" ht="60" customHeight="1">
      <c r="A33" s="8" t="n">
        <v>30</v>
      </c>
      <c r="B33" s="8" t="inlineStr">
        <is>
          <t>Backend</t>
        </is>
      </c>
      <c r="C33" s="8" t="inlineStr">
        <is>
          <t>sendTestEmail backend endpoint is fully fake</t>
        </is>
      </c>
      <c r="D33" s="14" t="inlineStr">
        <is>
          <t>Low</t>
        </is>
      </c>
      <c r="E33" s="13" t="inlineStr">
        <is>
          <t>Open</t>
        </is>
      </c>
      <c r="F33" s="8" t="inlineStr">
        <is>
          <t>Predecessor audit, re-verified this session</t>
        </is>
      </c>
      <c r="G33" s="8" t="inlineStr">
        <is>
          <t>systemConfigController.js — setTimeout(800) then a hardcoded success response; comment literally says "In a real app, we would use Nodemailer + SendGrid here."</t>
        </is>
      </c>
    </row>
    <row r="34" ht="60" customHeight="1">
      <c r="A34" s="8" t="n">
        <v>31</v>
      </c>
      <c r="B34" s="8" t="inlineStr">
        <is>
          <t>Backend</t>
        </is>
      </c>
      <c r="C34" s="8" t="inlineStr">
        <is>
          <t>AdminPortal.jsx has dead i18n code (toggleLanguage/t declared, never wired)</t>
        </is>
      </c>
      <c r="D34" s="14" t="inlineStr">
        <is>
          <t>Low</t>
        </is>
      </c>
      <c r="E34" s="13" t="inlineStr">
        <is>
          <t>Open</t>
        </is>
      </c>
      <c r="F34" s="8" t="inlineStr">
        <is>
          <t>Found during PR #94 merge this session</t>
        </is>
      </c>
      <c r="G34" s="8" t="inlineStr">
        <is>
          <t>A language-toggle handler and `t` are declared in AdminPortal.jsx's top-level scope but no button in the file calls them — leftover from an earlier, apparently-reverted admin i18n pass. Confirmed pre-existing on origin/main before this session's merges, not something introduced by them.</t>
        </is>
      </c>
    </row>
    <row r="35" ht="60" customHeight="1">
      <c r="A35" s="8" t="n">
        <v>32</v>
      </c>
      <c r="B35" s="8" t="inlineStr">
        <is>
          <t>Frontend</t>
        </is>
      </c>
      <c r="C35" s="8" t="inlineStr">
        <is>
          <t>Epic: Mobile responsiveness</t>
        </is>
      </c>
      <c r="D35" s="11" t="inlineStr">
        <is>
          <t>High</t>
        </is>
      </c>
      <c r="E35" s="16" t="inlineStr">
        <is>
          <t>Epic / not started</t>
        </is>
      </c>
      <c r="F35" s="8" t="inlineStr">
        <is>
          <t>Issue #86 (open)</t>
        </is>
      </c>
      <c r="G35" s="8" t="inlineStr">
        <is>
          <t>The entire platform is desktop-only. Full checklist: convert fixed sidebar to bottom nav/drawer under 768px, stack Explore/Dashboard grids to 1 column, 44×44px touch targets, collapse search bar, full-screen/bottom-sheet modals for dropdowns, horizontally-scrollable category pills. No work started.</t>
        </is>
      </c>
    </row>
    <row r="36" ht="60" customHeight="1">
      <c r="A36" s="8" t="n">
        <v>33</v>
      </c>
      <c r="B36" s="8" t="inlineStr">
        <is>
          <t>Frontend</t>
        </is>
      </c>
      <c r="C36" s="8" t="inlineStr">
        <is>
          <t>Epic: Admin/SuperAdmin portal styling refresh</t>
        </is>
      </c>
      <c r="D36" s="15" t="inlineStr">
        <is>
          <t>Medium</t>
        </is>
      </c>
      <c r="E36" s="16" t="inlineStr">
        <is>
          <t>Epic / not started</t>
        </is>
      </c>
      <c r="F36" s="8" t="inlineStr">
        <is>
          <t>Issue #63 (open) — check overlap with PR #94 first</t>
        </is>
      </c>
      <c r="G36" s="8" t="inlineStr">
        <is>
          <t>Collapsible sidebar, redesigned overview stats with role-based accent colors, improved filtering/table UX, light-mode fixes. PR #94 (merged this session) already delivered light-mode support and table/pagination fixes across Admin — re-scope this issue against current main before starting, likely smaller than originally written.</t>
        </is>
      </c>
    </row>
    <row r="37" ht="60" customHeight="1">
      <c r="A37" s="8" t="n">
        <v>34</v>
      </c>
      <c r="B37" s="8" t="inlineStr">
        <is>
          <t>Frontend</t>
        </is>
      </c>
      <c r="C37" s="8" t="inlineStr">
        <is>
          <t>Ongoing UI/UX micro-interaction polish (open-ended)</t>
        </is>
      </c>
      <c r="D37" s="14" t="inlineStr">
        <is>
          <t>Low</t>
        </is>
      </c>
      <c r="E37" s="13" t="inlineStr">
        <is>
          <t>Open</t>
        </is>
      </c>
      <c r="F37" s="8" t="inlineStr">
        <is>
          <t>Issue #23 (open)</t>
        </is>
      </c>
      <c r="G37" s="8" t="inlineStr">
        <is>
          <t>No concrete remaining action items — author's last update says "standing by for the next set of feature requests." Keep open as a catch-all or close and re-open specific issues as needed.</t>
        </is>
      </c>
    </row>
    <row r="38" ht="60" customHeight="1">
      <c r="A38" s="8" t="n">
        <v>35</v>
      </c>
      <c r="B38" s="8" t="inlineStr">
        <is>
          <t>Frontend</t>
        </is>
      </c>
      <c r="C38" s="8" t="inlineStr">
        <is>
          <t>No shared 401/session-expiry handling</t>
        </is>
      </c>
      <c r="D38" s="15" t="inlineStr">
        <is>
          <t>Medium</t>
        </is>
      </c>
      <c r="E38" s="13" t="inlineStr">
        <is>
          <t>Open</t>
        </is>
      </c>
      <c r="F38" s="8" t="inlineStr">
        <is>
          <t>Issue #21</t>
        </is>
      </c>
      <c r="G38" s="8" t="inlineStr">
        <is>
          <t>api/axios.js has no response interceptor — an expired session cookie surfaces as a generic inline error per component instead of redirecting to /auth. A single interceptor would fix every call site at once.</t>
        </is>
      </c>
    </row>
    <row r="39" ht="60" customHeight="1">
      <c r="A39" s="8" t="n">
        <v>36</v>
      </c>
      <c r="B39" s="8" t="inlineStr">
        <is>
          <t>Frontend</t>
        </is>
      </c>
      <c r="C39" s="8" t="inlineStr">
        <is>
          <t>No AbortController/cleanup in several data-fetching effects</t>
        </is>
      </c>
      <c r="D39" s="14" t="inlineStr">
        <is>
          <t>Low</t>
        </is>
      </c>
      <c r="E39" s="13" t="inlineStr">
        <is>
          <t>Open</t>
        </is>
      </c>
      <c r="F39" s="8" t="inlineStr">
        <is>
          <t>Issue #21</t>
        </is>
      </c>
      <c r="G39" s="8" t="inlineStr">
        <is>
          <t>CoursePage.jsx, LearningPortal.jsx, DashboardTab.jsx — rapid navigation can set state after the component has unmounted.</t>
        </is>
      </c>
    </row>
    <row r="40" ht="60" customHeight="1">
      <c r="A40" s="8" t="n">
        <v>37</v>
      </c>
      <c r="B40" s="8" t="inlineStr">
        <is>
          <t>Frontend</t>
        </is>
      </c>
      <c r="C40" s="8" t="inlineStr">
        <is>
          <t>InstructorPortal/AdminPortal flash protected UI before role-redirect</t>
        </is>
      </c>
      <c r="D40" s="14" t="inlineStr">
        <is>
          <t>Low</t>
        </is>
      </c>
      <c r="E40" s="13" t="inlineStr">
        <is>
          <t>Open</t>
        </is>
      </c>
      <c r="F40" s="8" t="inlineStr">
        <is>
          <t>Issue #21</t>
        </is>
      </c>
      <c r="G40" s="8" t="inlineStr">
        <is>
          <t>Both only redirect wrong-role users after mount, so there's a brief flash of the protected screen before the redirect fires.</t>
        </is>
      </c>
    </row>
    <row r="41" ht="60" customHeight="1">
      <c r="A41" s="8" t="n">
        <v>38</v>
      </c>
      <c r="B41" s="8" t="inlineStr">
        <is>
          <t>Frontend</t>
        </is>
      </c>
      <c r="C41" s="8" t="inlineStr">
        <is>
          <t>Inconsistent error UX (inline div vs. alert())</t>
        </is>
      </c>
      <c r="D41" s="14" t="inlineStr">
        <is>
          <t>Low</t>
        </is>
      </c>
      <c r="E41" s="13" t="inlineStr">
        <is>
          <t>Open</t>
        </is>
      </c>
      <c r="F41" s="8" t="inlineStr">
        <is>
          <t>Issue #21</t>
        </is>
      </c>
      <c r="G41" s="8" t="inlineStr">
        <is>
          <t>Some flows show an inline error &lt;div&gt;, others (e.g. AdminPortal.jsx) use a blocking alert() — should standardize on one pattern.</t>
        </is>
      </c>
    </row>
    <row r="42" ht="60" customHeight="1">
      <c r="A42" s="8" t="n">
        <v>39</v>
      </c>
      <c r="B42" s="8" t="inlineStr">
        <is>
          <t>Frontend</t>
        </is>
      </c>
      <c r="C42" s="8" t="inlineStr">
        <is>
          <t>console.log('[MOCK EMAIL]...') left in CheckoutPage.jsx</t>
        </is>
      </c>
      <c r="D42" s="14" t="inlineStr">
        <is>
          <t>Low</t>
        </is>
      </c>
      <c r="E42" s="13" t="inlineStr">
        <is>
          <t>Open</t>
        </is>
      </c>
      <c r="F42" s="8" t="inlineStr">
        <is>
          <t>Issue #21</t>
        </is>
      </c>
      <c r="G42" s="8" t="inlineStr">
        <is>
          <t>Leftover debug logging tied to the checkout flow that's already flagged as needing a scope decision (see Backend sheet row).</t>
        </is>
      </c>
    </row>
    <row r="43" ht="60" customHeight="1">
      <c r="A43" s="8" t="n">
        <v>40</v>
      </c>
      <c r="B43" s="8" t="inlineStr">
        <is>
          <t>Frontend</t>
        </is>
      </c>
      <c r="C43" s="8" t="inlineStr">
        <is>
          <t>Several dead buttons/links with no handler</t>
        </is>
      </c>
      <c r="D43" s="14" t="inlineStr">
        <is>
          <t>Low</t>
        </is>
      </c>
      <c r="E43" s="13" t="inlineStr">
        <is>
          <t>Open</t>
        </is>
      </c>
      <c r="F43" s="8" t="inlineStr">
        <is>
          <t>Issue #21</t>
        </is>
      </c>
      <c r="G43" s="8" t="inlineStr">
        <is>
          <t>"Explore Catalog" hero button, "View all" href="#", "Profile"/"Settings" href="#" in TopNav, search input with no onChange, "Get Certificate"/"Ask a Question" buttons in LearningPortal.</t>
        </is>
      </c>
    </row>
    <row r="44" ht="60" customHeight="1">
      <c r="A44" s="8" t="n">
        <v>41</v>
      </c>
      <c r="B44" s="8" t="inlineStr">
        <is>
          <t>Frontend</t>
        </is>
      </c>
      <c r="C44" s="8" t="inlineStr">
        <is>
          <t>LearningPortal shows identical filler text + fake PDF download for every lesson</t>
        </is>
      </c>
      <c r="D44" s="14" t="inlineStr">
        <is>
          <t>Low</t>
        </is>
      </c>
      <c r="E44" s="13" t="inlineStr">
        <is>
          <t>Open</t>
        </is>
      </c>
      <c r="F44" s="8" t="inlineStr">
        <is>
          <t>Issue #21</t>
        </is>
      </c>
      <c r="G44" s="8" t="inlineStr">
        <is>
          <t>Hardcoded placeholder content and a non-functional download link appear under every lesson regardless of its actual content.</t>
        </is>
      </c>
    </row>
    <row r="45" ht="60" customHeight="1">
      <c r="A45" s="8" t="n">
        <v>42</v>
      </c>
      <c r="B45" s="8" t="inlineStr">
        <is>
          <t>Frontend</t>
        </is>
      </c>
      <c r="C45" s="8" t="inlineStr">
        <is>
          <t>Placeholder Unsplash/Pravatar images presented as real course art</t>
        </is>
      </c>
      <c r="D45" s="14" t="inlineStr">
        <is>
          <t>Low</t>
        </is>
      </c>
      <c r="E45" s="13" t="inlineStr">
        <is>
          <t>Open</t>
        </is>
      </c>
      <c r="F45" s="8" t="inlineStr">
        <is>
          <t>Issue #21</t>
        </is>
      </c>
      <c r="G45" s="8" t="inlineStr">
        <is>
          <t>data.js fallback thumbnails/avatars used in CheckoutPage and elsewhere look like real content but are generic placeholder images.</t>
        </is>
      </c>
    </row>
    <row r="46" ht="60" customHeight="1">
      <c r="A46" s="8" t="n">
        <v>43</v>
      </c>
      <c r="B46" s="8" t="inlineStr">
        <is>
          <t>Frontend</t>
        </is>
      </c>
      <c r="C46" s="8" t="inlineStr">
        <is>
          <t>"Remember Me" checkbox is decorative</t>
        </is>
      </c>
      <c r="D46" s="14" t="inlineStr">
        <is>
          <t>Low</t>
        </is>
      </c>
      <c r="E46" s="13" t="inlineStr">
        <is>
          <t>Open</t>
        </is>
      </c>
      <c r="F46" s="8" t="inlineStr">
        <is>
          <t>CLAUDE.md known non-blocking issue</t>
        </is>
      </c>
      <c r="G46" s="8" t="inlineStr">
        <is>
          <t>UI exists on the login form but isn't wired to any actual session-persistence behavior difference.</t>
        </is>
      </c>
    </row>
    <row r="47" ht="60" customHeight="1">
      <c r="A47" s="8" t="n">
        <v>44</v>
      </c>
      <c r="B47" s="8" t="inlineStr">
        <is>
          <t>Frontend</t>
        </is>
      </c>
      <c r="C47" s="8" t="inlineStr">
        <is>
          <t>Stray unrelated files committed to main (PDFs + Python script)</t>
        </is>
      </c>
      <c r="D47" s="14" t="inlineStr">
        <is>
          <t>Low</t>
        </is>
      </c>
      <c r="E47" s="13" t="inlineStr">
        <is>
          <t>Open</t>
        </is>
      </c>
      <c r="F47" s="8" t="inlineStr">
        <is>
          <t>Found via PR #94 merge this session</t>
        </is>
      </c>
      <c r="G47" s="8" t="inlineStr">
        <is>
          <t>Program_Premium_Deck.pdf, Program_Presentation_Blueprint.pdf, and pdf/pdf.py landed on main through PR #94's merge — personal/marketing files with nothing to do with the app. Safe to delete.</t>
        </is>
      </c>
    </row>
    <row r="48" ht="60" customHeight="1">
      <c r="A48" s="8" t="n">
        <v>45</v>
      </c>
      <c r="B48" s="8" t="inlineStr">
        <is>
          <t>Frontend</t>
        </is>
      </c>
      <c r="C48" s="8" t="inlineStr">
        <is>
          <t>SettingsPage "Change picture" button: invisible text on hover in dark mode</t>
        </is>
      </c>
      <c r="D48" s="14" t="inlineStr">
        <is>
          <t>Low</t>
        </is>
      </c>
      <c r="E48" s="13" t="inlineStr">
        <is>
          <t>Open</t>
        </is>
      </c>
      <c r="F48" s="8" t="inlineStr">
        <is>
          <t>Found during PR #94 merge this session</t>
        </is>
      </c>
      <c r="G48" s="8" t="inlineStr">
        <is>
          <t>Hover state forces the button background to pure white while the text color stays var(--text-primary), which is also white in dark mode — text disappears on hover. Pre-existing in PR #94's own code, not introduced by the merge.</t>
        </is>
      </c>
    </row>
    <row r="49" ht="60" customHeight="1">
      <c r="A49" s="8" t="n">
        <v>46</v>
      </c>
      <c r="B49" s="8" t="inlineStr">
        <is>
          <t>Frontend</t>
        </is>
      </c>
      <c r="C49" s="8" t="inlineStr">
        <is>
          <t>Two leftover physical CSS properties break RTL mirroring</t>
        </is>
      </c>
      <c r="D49" s="14" t="inlineStr">
        <is>
          <t>Low</t>
        </is>
      </c>
      <c r="E49" s="13" t="inlineStr">
        <is>
          <t>Open</t>
        </is>
      </c>
      <c r="F49" s="8" t="inlineStr">
        <is>
          <t>Found during PR #102 review this session</t>
        </is>
      </c>
      <c r="G49" s="8" t="inlineStr">
        <is>
          <t>App.css .ticks (border-left/right-color) and content.css .phone-input-wrapper .phone-prefix (border-right) were missed during the logical-properties conversion — colored edges/dividers land on the wrong side in Arabic.</t>
        </is>
      </c>
    </row>
    <row r="50" ht="60" customHeight="1">
      <c r="A50" s="8" t="n">
        <v>47</v>
      </c>
      <c r="B50" s="8" t="inlineStr">
        <is>
          <t>Frontend</t>
        </is>
      </c>
      <c r="C50" s="8" t="inlineStr">
        <is>
          <t>Cross-portal language leak on a portal's first-ever visit</t>
        </is>
      </c>
      <c r="D50" s="14" t="inlineStr">
        <is>
          <t>Low</t>
        </is>
      </c>
      <c r="E50" s="13" t="inlineStr">
        <is>
          <t>Open</t>
        </is>
      </c>
      <c r="F50" s="8" t="inlineStr">
        <is>
          <t>Found during PR #105 review this session</t>
        </is>
      </c>
      <c r="G50" s="8" t="inlineStr">
        <is>
          <t>Per-portal language scoping only restores a portal's own saved localStorage preference; a portal that has never saved its own preference doesn't reset from whatever language i18next is currently set to, so a language toggled in one portal can leak into another on its first visit.</t>
        </is>
      </c>
    </row>
    <row r="51" ht="60" customHeight="1">
      <c r="A51" s="8" t="n">
        <v>48</v>
      </c>
      <c r="B51" s="8" t="inlineStr">
        <is>
          <t>Frontend</t>
        </is>
      </c>
      <c r="C51" s="8" t="inlineStr">
        <is>
          <t>Frontend CSS/theme values may not perfectly match original design intent</t>
        </is>
      </c>
      <c r="D51" s="14" t="inlineStr">
        <is>
          <t>Low</t>
        </is>
      </c>
      <c r="E51" s="13" t="inlineStr">
        <is>
          <t>Open</t>
        </is>
      </c>
      <c r="F51" s="8" t="inlineStr">
        <is>
          <t>CLAUDE.md known non-blocking issue</t>
        </is>
      </c>
      <c r="G51" s="8" t="inlineStr">
        <is>
          <t>General note carried in project docs — no specific repro, listed for completeness.</t>
        </is>
      </c>
    </row>
    <row r="52" ht="60" customHeight="1">
      <c r="A52" s="8" t="n">
        <v>49</v>
      </c>
      <c r="B52" s="8" t="inlineStr">
        <is>
          <t>Testing</t>
        </is>
      </c>
      <c r="C52" s="8" t="inlineStr">
        <is>
          <t>Zero frontend test coverage</t>
        </is>
      </c>
      <c r="D52" s="11" t="inlineStr">
        <is>
          <t>High</t>
        </is>
      </c>
      <c r="E52" s="13" t="inlineStr">
        <is>
          <t>Open</t>
        </is>
      </c>
      <c r="F52" s="8" t="inlineStr">
        <is>
          <t>Gap identified this session</t>
        </is>
      </c>
      <c r="G52" s="8" t="inlineStr">
        <is>
          <t>No Vitest/Jest/React Testing Library/Cypress/Playwright installed anywhere in client/. The only automated test in the whole repo is server/test-integration.js (backend, integration-level). Every frontend regression currently relies entirely on manual QA or `npm run build` (which only catches syntax errors, not logic bugs).</t>
        </is>
      </c>
    </row>
    <row r="53" ht="60" customHeight="1">
      <c r="A53" s="8" t="n">
        <v>50</v>
      </c>
      <c r="B53" s="8" t="inlineStr">
        <is>
          <t>Testing</t>
        </is>
      </c>
      <c r="C53" s="8" t="inlineStr">
        <is>
          <t>No full structured QA pass over every role's entire UI</t>
        </is>
      </c>
      <c r="D53" s="15" t="inlineStr">
        <is>
          <t>Medium</t>
        </is>
      </c>
      <c r="E53" s="13" t="inlineStr">
        <is>
          <t>Open</t>
        </is>
      </c>
      <c r="F53" s="8" t="inlineStr">
        <is>
          <t>Predecessor audit, still true</t>
        </is>
      </c>
      <c r="G53" s="8" t="inlineStr">
        <is>
          <t>All manual QA done across sessions has been targeted at whatever feature was being changed, never a systematic click-through of every existing screen for every role.</t>
        </is>
      </c>
    </row>
    <row r="54" ht="60" customHeight="1">
      <c r="A54" s="8" t="n">
        <v>51</v>
      </c>
      <c r="B54" s="8" t="inlineStr">
        <is>
          <t>Testing</t>
        </is>
      </c>
      <c r="C54" s="8" t="inlineStr">
        <is>
          <t>Real Cloudinary upload never verified end-to-end</t>
        </is>
      </c>
      <c r="D54" s="15" t="inlineStr">
        <is>
          <t>Medium</t>
        </is>
      </c>
      <c r="E54" s="13" t="inlineStr">
        <is>
          <t>Open</t>
        </is>
      </c>
      <c r="F54" s="8" t="inlineStr">
        <is>
          <t>Predecessor audit, still true</t>
        </is>
      </c>
      <c r="G54" s="8" t="inlineStr">
        <is>
          <t>Blocked by the placeholder-credentials issue above — can't be tested until real credentials exist somewhere.</t>
        </is>
      </c>
    </row>
    <row r="55" ht="60" customHeight="1">
      <c r="A55" s="8" t="n">
        <v>52</v>
      </c>
      <c r="B55" s="8" t="inlineStr">
        <is>
          <t>Testing</t>
        </is>
      </c>
      <c r="C55" s="8" t="inlineStr">
        <is>
          <t>server/test-integration.js passes on current main</t>
        </is>
      </c>
      <c r="D55" s="14" t="inlineStr">
        <is>
          <t>Low</t>
        </is>
      </c>
      <c r="E55" s="17" t="inlineStr">
        <is>
          <t>Verified OK</t>
        </is>
      </c>
      <c r="F55" s="8" t="inlineStr">
        <is>
          <t>Re-run this session</t>
        </is>
      </c>
      <c r="G55" s="8" t="inlineStr">
        <is>
          <t>All assertions pass against current main (post PR #92/93/94/101/102/105/107/109/110 merge). Regression-clean for the flows it covers: register → create course → approve → enroll → mark complete → verify progress.</t>
        </is>
      </c>
    </row>
    <row r="56" ht="60" customHeight="1">
      <c r="A56" s="8" t="n">
        <v>53</v>
      </c>
      <c r="B56" s="8" t="inlineStr">
        <is>
          <t>Testing</t>
        </is>
      </c>
      <c r="C56" s="8" t="inlineStr">
        <is>
          <t>`npm run build` passes on current main</t>
        </is>
      </c>
      <c r="D56" s="14" t="inlineStr">
        <is>
          <t>Low</t>
        </is>
      </c>
      <c r="E56" s="17" t="inlineStr">
        <is>
          <t>Verified OK</t>
        </is>
      </c>
      <c r="F56" s="8" t="inlineStr">
        <is>
          <t>Re-run this session</t>
        </is>
      </c>
      <c r="G56" s="8" t="inlineStr">
        <is>
          <t>Zero errors. Bundle warns about a &gt;500KB chunk (1.2MB / 315KB gzip) — not an error, but worth a code-splitting pass eventually.</t>
        </is>
      </c>
    </row>
    <row r="57" ht="60" customHeight="1">
      <c r="A57" s="8" t="n">
        <v>54</v>
      </c>
      <c r="B57" s="8" t="inlineStr">
        <is>
          <t>Deployment</t>
        </is>
      </c>
      <c r="C57" s="8" t="inlineStr">
        <is>
          <t>No persistent deployment anywhere</t>
        </is>
      </c>
      <c r="D57" s="11" t="inlineStr">
        <is>
          <t>High</t>
        </is>
      </c>
      <c r="E57" s="13" t="inlineStr">
        <is>
          <t>Open</t>
        </is>
      </c>
      <c r="F57" s="8" t="inlineStr">
        <is>
          <t>Predecessor audit, still true</t>
        </is>
      </c>
      <c r="G57" s="8" t="inlineStr">
        <is>
          <t>No GitHub Deployments/Pages, no Dockerfile, no vercel.json/render.yaml/Procfile/netlify.toml anywhere in the repo. The app has never been run outside a local dev environment.</t>
        </is>
      </c>
    </row>
    <row r="58" ht="60" customHeight="1">
      <c r="A58" s="8" t="n">
        <v>55</v>
      </c>
      <c r="B58" s="8" t="inlineStr">
        <is>
          <t>Deployment</t>
        </is>
      </c>
      <c r="C58" s="8" t="inlineStr">
        <is>
          <t>No CI/CD</t>
        </is>
      </c>
      <c r="D58" s="11" t="inlineStr">
        <is>
          <t>High</t>
        </is>
      </c>
      <c r="E58" s="13" t="inlineStr">
        <is>
          <t>Open</t>
        </is>
      </c>
      <c r="F58" s="8" t="inlineStr">
        <is>
          <t>Predecessor audit, still true — confirmed relevant again this session</t>
        </is>
      </c>
      <c r="G58" s="8" t="inlineStr">
        <is>
          <t>No .github/workflows directory. Nothing runs build/lint/tests automatically on a PR. This session found a live security regression (gutted rate limiter) sitting in an open, GitHub-reported-mergeable PR (#111) with nothing to catch it before a human review did.</t>
        </is>
      </c>
    </row>
    <row r="59" ht="60" customHeight="1">
      <c r="A59" s="8" t="n">
        <v>56</v>
      </c>
      <c r="B59" s="8" t="inlineStr">
        <is>
          <t>Deployment</t>
        </is>
      </c>
      <c r="C59" s="8" t="inlineStr">
        <is>
          <t>server/.env.example port drift</t>
        </is>
      </c>
      <c r="D59" s="14" t="inlineStr">
        <is>
          <t>Low</t>
        </is>
      </c>
      <c r="E59" s="13" t="inlineStr">
        <is>
          <t>Open</t>
        </is>
      </c>
      <c r="F59" s="8" t="inlineStr">
        <is>
          <t>Predecessor audit, re-verified this session</t>
        </is>
      </c>
      <c r="G59" s="8" t="inlineStr">
        <is>
          <t>server/.env.example still defaults PORT=5000; the actual local dev value in server/.env is 5050. Cosmetic but will confuse the next person setting up the project from scratch.</t>
        </is>
      </c>
    </row>
    <row r="60" ht="60" customHeight="1">
      <c r="A60" s="8" t="n">
        <v>57</v>
      </c>
      <c r="B60" s="8" t="inlineStr">
        <is>
          <t>Deployment</t>
        </is>
      </c>
      <c r="C60" s="8" t="inlineStr">
        <is>
          <t>CORS/cookie behavior never exercised against a real production domain</t>
        </is>
      </c>
      <c r="D60" s="15" t="inlineStr">
        <is>
          <t>Medium</t>
        </is>
      </c>
      <c r="E60" s="13" t="inlineStr">
        <is>
          <t>Open</t>
        </is>
      </c>
      <c r="F60" s="8" t="inlineStr">
        <is>
          <t>Predecessor audit, still true</t>
        </is>
      </c>
      <c r="G60" s="8" t="inlineStr">
        <is>
          <t>Code is written correctly (env-driven allowlist, secure/sameSite=none only in production) but has literally never run against a deployed frontend domain since nothing is deployed.</t>
        </is>
      </c>
    </row>
    <row r="61" ht="60" customHeight="1">
      <c r="A61" s="8" t="n">
        <v>58</v>
      </c>
      <c r="B61" s="8" t="inlineStr">
        <is>
          <t>Deployment</t>
        </is>
      </c>
      <c r="C61" s="8" t="inlineStr">
        <is>
          <t>No backup / disaster-recovery process for the database</t>
        </is>
      </c>
      <c r="D61" s="15" t="inlineStr">
        <is>
          <t>Medium</t>
        </is>
      </c>
      <c r="E61" s="13" t="inlineStr">
        <is>
          <t>Open</t>
        </is>
      </c>
      <c r="F61" s="8" t="inlineStr">
        <is>
          <t>Gap identified this session (also part of Issue #77's larger scope)</t>
        </is>
      </c>
      <c r="G61" s="8" t="inlineStr">
        <is>
          <t>No automated MongoDB backup, restore-validation, or documented DR procedure exists at any scale, including the current MVP.</t>
        </is>
      </c>
    </row>
    <row r="62" ht="60" customHeight="1">
      <c r="A62" s="8" t="n">
        <v>59</v>
      </c>
      <c r="B62" s="8" t="inlineStr">
        <is>
          <t>Open PRs</t>
        </is>
      </c>
      <c r="C62" s="8" t="inlineStr">
        <is>
          <t>PR #104 "Backup workspace" should be closed</t>
        </is>
      </c>
      <c r="D62" s="14" t="inlineStr">
        <is>
          <t>Low</t>
        </is>
      </c>
      <c r="E62" s="13" t="inlineStr">
        <is>
          <t>Open</t>
        </is>
      </c>
      <c r="F62" s="8" t="inlineStr">
        <is>
          <t>Reviewed this session</t>
        </is>
      </c>
      <c r="G62" s="8" t="inlineStr">
        <is>
          <t>Not a real PR — empty description, duplicates commits already in #101/#102, includes an unrelated PDF deck and a pdf-generation script. Recommend closing without merging.</t>
        </is>
      </c>
    </row>
    <row r="63" ht="60" customHeight="1">
      <c r="A63" s="8" t="n">
        <v>60</v>
      </c>
      <c r="B63" s="8" t="inlineStr">
        <is>
          <t>Open PRs</t>
        </is>
      </c>
      <c r="C63" s="8" t="inlineStr">
        <is>
          <t>PR #111 blocked pending fixes</t>
        </is>
      </c>
      <c r="D63" s="11" t="inlineStr">
        <is>
          <t>High</t>
        </is>
      </c>
      <c r="E63" s="10" t="inlineStr">
        <is>
          <t>Blocked</t>
        </is>
      </c>
      <c r="F63" s="8" t="inlineStr">
        <is>
          <t>Reviewed this session</t>
        </is>
      </c>
      <c r="G63" s="8" t="inlineStr">
        <is>
          <t>Feature work (PROGRAM instructor badge, 18-major i18n, tooltips) is otherwise reasonable, but blocked on: reverting the gutted login rate limiter, a decision on the hardcoded commission-split logic, and cleanup of the stray Python/CJS scripts + git-log dump (add_props.py, apply_animations*.py, fix_logos*.py, history.txt, etc.) committed alongside it.</t>
        </is>
      </c>
    </row>
    <row r="64" ht="60" customHeight="1">
      <c r="A64" s="8" t="n">
        <v>61</v>
      </c>
      <c r="B64" s="8" t="inlineStr">
        <is>
          <t>Open PRs</t>
        </is>
      </c>
      <c r="C64" s="8" t="inlineStr">
        <is>
          <t>PR #82 needs rebase + review</t>
        </is>
      </c>
      <c r="D64" s="11" t="inlineStr">
        <is>
          <t>High</t>
        </is>
      </c>
      <c r="E64" s="10" t="inlineStr">
        <is>
          <t>Blocked</t>
        </is>
      </c>
      <c r="F64" s="8" t="inlineStr">
        <is>
          <t>Reviewed this session</t>
        </is>
      </c>
      <c r="G64" s="8" t="inlineStr">
        <is>
          <t>Currently CONFLICTING against main. Contains genuinely valuable security work (see Security sheet) that nothing else in the current backlog covers — worth prioritizing the rebase.</t>
        </is>
      </c>
    </row>
  </sheetData>
  <autoFilter ref="A3:G6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2026-08-05T10:55:59Z</dcterms:created>
  <dcterms:modified xsi:type="dcterms:W3CDTF">2026-08-05T10:55:59Z</dcterms:modified>
</cp:coreProperties>
</file>